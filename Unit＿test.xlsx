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T Uni\ky5\SWT301\slot 6\outputs\SWT301_Slot6_BaiNop\"/>
    </mc:Choice>
  </mc:AlternateContent>
  <xr:revisionPtr revIDLastSave="0" documentId="13_ncr:1_{CA27A2F7-8B42-4619-BFCC-14414994A5F0}" xr6:coauthVersionLast="47" xr6:coauthVersionMax="47" xr10:uidLastSave="{00000000-0000-0000-0000-000000000000}"/>
  <bookViews>
    <workbookView xWindow="-108" yWindow="-108" windowWidth="23256" windowHeight="12456" xr2:uid="{DAA3A29A-765A-4950-9501-5489EA449B14}"/>
  </bookViews>
  <sheets>
    <sheet name="Subtotal" sheetId="1" r:id="rId1"/>
    <sheet name="Discount 1" sheetId="2" r:id="rId2"/>
    <sheet name="Discount 2" sheetId="3" r:id="rId3"/>
    <sheet name="Shipping" sheetId="4" r:id="rId4"/>
    <sheet name="Total 1" sheetId="5" r:id="rId5"/>
    <sheet name="Total 2" sheetId="6" r:id="rId6"/>
    <sheet name="Customer" sheetId="7" r:id="rId7"/>
    <sheet name="Product" sheetId="8" r:id="rId8"/>
    <sheet name="Register" sheetId="9" r:id="rId9"/>
    <sheet name="Email 1" sheetId="10" r:id="rId10"/>
    <sheet name="Email 2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N7" i="1"/>
  <c r="M7" i="1"/>
  <c r="L7" i="1"/>
  <c r="C7" i="1"/>
  <c r="A7" i="1"/>
  <c r="F7" i="1" l="1"/>
  <c r="O7" i="11"/>
  <c r="N7" i="11"/>
  <c r="M7" i="11"/>
  <c r="L7" i="11"/>
  <c r="C7" i="11"/>
  <c r="A7" i="11"/>
  <c r="F7" i="11" s="1"/>
  <c r="O7" i="10"/>
  <c r="N7" i="10"/>
  <c r="M7" i="10"/>
  <c r="L7" i="10"/>
  <c r="C7" i="10"/>
  <c r="A7" i="10"/>
  <c r="F7" i="10" s="1"/>
  <c r="O7" i="9"/>
  <c r="N7" i="9"/>
  <c r="M7" i="9"/>
  <c r="L7" i="9"/>
  <c r="C7" i="9"/>
  <c r="A7" i="9"/>
  <c r="F7" i="9" s="1"/>
  <c r="O7" i="8"/>
  <c r="N7" i="8"/>
  <c r="M7" i="8"/>
  <c r="L7" i="8"/>
  <c r="C7" i="8"/>
  <c r="A7" i="8"/>
  <c r="F7" i="8" s="1"/>
  <c r="O7" i="7"/>
  <c r="N7" i="7"/>
  <c r="M7" i="7"/>
  <c r="L7" i="7"/>
  <c r="C7" i="7"/>
  <c r="A7" i="7"/>
  <c r="F7" i="7" s="1"/>
  <c r="O7" i="6"/>
  <c r="N7" i="6"/>
  <c r="M7" i="6"/>
  <c r="L7" i="6"/>
  <c r="F7" i="6"/>
  <c r="C7" i="6"/>
  <c r="A7" i="6"/>
  <c r="O7" i="5"/>
  <c r="N7" i="5"/>
  <c r="M7" i="5"/>
  <c r="L7" i="5"/>
  <c r="F7" i="5"/>
  <c r="C7" i="5"/>
  <c r="A7" i="5"/>
  <c r="O7" i="4"/>
  <c r="N7" i="4"/>
  <c r="M7" i="4"/>
  <c r="L7" i="4"/>
  <c r="C7" i="4"/>
  <c r="A7" i="4"/>
  <c r="F7" i="4" s="1"/>
  <c r="O7" i="3"/>
  <c r="N7" i="3"/>
  <c r="M7" i="3"/>
  <c r="L7" i="3"/>
  <c r="C7" i="3"/>
  <c r="A7" i="3"/>
  <c r="F7" i="3" s="1"/>
  <c r="O7" i="2"/>
  <c r="N7" i="2"/>
  <c r="M7" i="2"/>
  <c r="L7" i="2"/>
  <c r="C7" i="2"/>
  <c r="A7" i="2"/>
  <c r="F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family val="2"/>
          </rPr>
          <t>Tom P: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<sst xmlns="http://schemas.openxmlformats.org/spreadsheetml/2006/main" count="1177" uniqueCount="193">
  <si>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</si>
  <si>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</si>
  <si>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</si>
  <si>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</si>
  <si>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</si>
  <si>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</si>
  <si>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</si>
  <si>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Passed</t>
  </si>
  <si>
    <t>Failed</t>
  </si>
  <si>
    <t>Untested</t>
  </si>
  <si>
    <t>N/A/B</t>
  </si>
  <si>
    <t>Total Test Cases</t>
  </si>
  <si>
    <t>Condition</t>
  </si>
  <si>
    <t xml:space="preserve">Precondition </t>
  </si>
  <si>
    <t>Confirm</t>
  </si>
  <si>
    <t>Return</t>
  </si>
  <si>
    <t>Exception</t>
  </si>
  <si>
    <t>Log message</t>
  </si>
  <si>
    <t>Result</t>
  </si>
  <si>
    <t>Type(N : Normal, A : Abnormal, B : Boundary)</t>
  </si>
  <si>
    <t>Passed/Failed</t>
  </si>
  <si>
    <t>Executed Date</t>
  </si>
  <si>
    <t>Defect ID</t>
  </si>
  <si>
    <t>Input condition</t>
  </si>
  <si>
    <t>Don't edit the grey cell</t>
  </si>
  <si>
    <t>* Notes:</t>
  </si>
  <si>
    <t>Subtotal</t>
  </si>
  <si>
    <t>calculateSubtotal</t>
  </si>
  <si>
    <t>JUnit 5</t>
  </si>
  <si>
    <t>price * quantity; product != null</t>
  </si>
  <si>
    <t>S01</t>
  </si>
  <si>
    <t>S02</t>
  </si>
  <si>
    <t>S03</t>
  </si>
  <si>
    <t>S04</t>
  </si>
  <si>
    <t>Service ready</t>
  </si>
  <si>
    <t>price</t>
  </si>
  <si>
    <t>O</t>
  </si>
  <si>
    <t>quantity</t>
  </si>
  <si>
    <t>product</t>
  </si>
  <si>
    <t>null</t>
  </si>
  <si>
    <t>Expected</t>
  </si>
  <si>
    <t>P/F</t>
  </si>
  <si>
    <t>P</t>
  </si>
  <si>
    <t>IAE</t>
  </si>
  <si>
    <t>Message checked</t>
  </si>
  <si>
    <t>No log required</t>
  </si>
  <si>
    <t>N</t>
  </si>
  <si>
    <t>B</t>
  </si>
  <si>
    <t>A</t>
  </si>
  <si>
    <t>10/6</t>
  </si>
  <si>
    <t>B01</t>
  </si>
  <si>
    <t>Run: 2026-10-06; O: applied; P: Actual = Expected; IAE: IllegalArgumentException.</t>
  </si>
  <si>
    <t>Discount 1</t>
  </si>
  <si>
    <t>calculateDiscount</t>
  </si>
  <si>
    <t>Discount: 0%, 5%, 10%, 15%</t>
  </si>
  <si>
    <t>D01</t>
  </si>
  <si>
    <t>D02</t>
  </si>
  <si>
    <t>D03</t>
  </si>
  <si>
    <t>D04</t>
  </si>
  <si>
    <t>D05</t>
  </si>
  <si>
    <t>subtotal</t>
  </si>
  <si>
    <t>B02</t>
  </si>
  <si>
    <t>Discount 2</t>
  </si>
  <si>
    <t>D06</t>
  </si>
  <si>
    <t>D07</t>
  </si>
  <si>
    <t>D08</t>
  </si>
  <si>
    <t>D09</t>
  </si>
  <si>
    <t>Shipping</t>
  </si>
  <si>
    <t>calculateShippingFee</t>
  </si>
  <si>
    <t>subtotal &lt; 2000: 50; otherwise: 0</t>
  </si>
  <si>
    <t>H01</t>
  </si>
  <si>
    <t>H02</t>
  </si>
  <si>
    <t>H03</t>
  </si>
  <si>
    <t>H04</t>
  </si>
  <si>
    <t>H05</t>
  </si>
  <si>
    <t>B03</t>
  </si>
  <si>
    <t>Total 1</t>
  </si>
  <si>
    <t>calculateTotal</t>
  </si>
  <si>
    <t>subtotal - discount + shipping</t>
  </si>
  <si>
    <t>T01</t>
  </si>
  <si>
    <t>T02</t>
  </si>
  <si>
    <t>T03</t>
  </si>
  <si>
    <t>T04</t>
  </si>
  <si>
    <t>B04</t>
  </si>
  <si>
    <t>Total 2</t>
  </si>
  <si>
    <t>T05</t>
  </si>
  <si>
    <t>T06</t>
  </si>
  <si>
    <t>Customer</t>
  </si>
  <si>
    <t>classifyCustomer</t>
  </si>
  <si>
    <t>REGULAR / SILVER / GOLD / VIP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</si>
  <si>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</si>
  <si>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</si>
  <si>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</si>
  <si>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</si>
  <si>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</si>
  <si>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</si>
  <si>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</si>
  <si>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</si>
  <si>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</si>
  <si>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total</t>
  </si>
  <si>
    <t>REGULAR</t>
  </si>
  <si>
    <t>SILVER</t>
  </si>
  <si>
    <t>GOLD</t>
  </si>
  <si>
    <t>VIP</t>
  </si>
  <si>
    <t>B05</t>
  </si>
  <si>
    <t>B06</t>
  </si>
  <si>
    <t>Product</t>
  </si>
  <si>
    <t>ID, name required; price, quantity &gt; 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</si>
  <si>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</si>
  <si>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</si>
  <si>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</si>
  <si>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</si>
  <si>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</si>
  <si>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</si>
  <si>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</si>
  <si>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</si>
  <si>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</si>
  <si>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id</t>
  </si>
  <si>
    <t>name</t>
  </si>
  <si>
    <t>Pen</t>
  </si>
  <si>
    <t>empty</t>
  </si>
  <si>
    <t>productId</t>
  </si>
  <si>
    <t>productName</t>
  </si>
  <si>
    <t>Register</t>
  </si>
  <si>
    <t>registerAccount</t>
  </si>
  <si>
    <t>Username required; password &gt; 6; valid email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</si>
  <si>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</si>
  <si>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</si>
  <si>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</si>
  <si>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</si>
  <si>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</si>
  <si>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</si>
  <si>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</si>
  <si>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</si>
  <si>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</si>
  <si>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</si>
  <si>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</si>
  <si>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</si>
  <si>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</si>
  <si>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</si>
  <si>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</si>
  <si>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username</t>
  </si>
  <si>
    <t>john123</t>
  </si>
  <si>
    <t>password</t>
  </si>
  <si>
    <t>pass123</t>
  </si>
  <si>
    <t>email="john@example.com"</t>
  </si>
  <si>
    <t>alice</t>
  </si>
  <si>
    <t>short</t>
  </si>
  <si>
    <t>email="alice@mail.com"</t>
  </si>
  <si>
    <t>bob123</t>
  </si>
  <si>
    <t>email</t>
  </si>
  <si>
    <t>bobmail.com</t>
  </si>
  <si>
    <t>carol</t>
  </si>
  <si>
    <t>email="carol@domain.com"</t>
  </si>
  <si>
    <t>3 spaces</t>
  </si>
  <si>
    <t>john</t>
  </si>
  <si>
    <t>email="john@@example.com"</t>
  </si>
  <si>
    <t>true</t>
  </si>
  <si>
    <t>false</t>
  </si>
  <si>
    <t>Email 1</t>
  </si>
  <si>
    <t>isValidEmail</t>
  </si>
  <si>
    <t>Valid common ASCII email format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</si>
  <si>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</si>
  <si>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</si>
  <si>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</si>
  <si>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</si>
  <si>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</si>
  <si>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</si>
  <si>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</si>
  <si>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</si>
  <si>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</si>
  <si>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</si>
  <si>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</si>
  <si>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</si>
  <si>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</si>
  <si>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</si>
  <si>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</si>
  <si>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john.doe+tag@sub.example.com</t>
  </si>
  <si>
    <t>@example.com</t>
  </si>
  <si>
    <t>john@</t>
  </si>
  <si>
    <t>john@example</t>
  </si>
  <si>
    <t>email="john example@example.com"</t>
  </si>
  <si>
    <t>email=" john@example.com"</t>
  </si>
  <si>
    <t>email=".john@example.com"</t>
  </si>
  <si>
    <t>email="john..doe@example.com"</t>
  </si>
  <si>
    <t>email="john@-example.com"</t>
  </si>
  <si>
    <t>Email 2</t>
  </si>
  <si>
    <t>E16</t>
  </si>
  <si>
    <t>E17</t>
  </si>
  <si>
    <t>E18</t>
  </si>
  <si>
    <t>email="john@example-.com"</t>
  </si>
  <si>
    <t>email="john@example..com"</t>
  </si>
  <si>
    <t>email="john@example.c"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</si>
</sst>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sz val="8"/>
      <color indexed="81"/>
      <name val="Tahoma"/>
      <family val="2"/>
    </font>
    <font>
      <sz val="8"/>
      <color theme="4"/>
      <name val="Tahoma"/>
      <family val="2"/>
    </font>
    <font>
      <i/>
      <sz val="8"/>
      <color theme="4"/>
      <name val="Tahoma"/>
      <family val="2"/>
    </font>
    <font>
      <b/>
      <sz val="8"/>
      <color theme="4"/>
      <name val="Tahoma"/>
      <family val="2"/>
    </font>
    <font>
      <b/>
      <sz val="8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0070C0"/>
      <name val="Tahoma"/>
      <family val="2"/>
    </font>
    <font>
      <sz val="8"/>
      <name val="Calibri"/>
      <family val="2"/>
      <scheme val="minor"/>
    </font>
    <font>
      <sz val="8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2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9">
    <xf numFmtId="0" fontId="0" fillId="0" borderId="0" xfId="0"/>
    <xf numFmtId="0" fontId="3" fillId="0" borderId="1" xfId="1" applyFont="1" applyBorder="1"/>
    <xf numFmtId="0" fontId="4" fillId="0" borderId="1" xfId="1" applyFont="1" applyBorder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right"/>
    </xf>
    <xf numFmtId="0" fontId="5" fillId="2" borderId="12" xfId="2" applyFont="1" applyFill="1" applyBorder="1" applyAlignment="1">
      <alignment wrapText="1"/>
    </xf>
    <xf numFmtId="0" fontId="5" fillId="2" borderId="17" xfId="2" applyFont="1" applyFill="1" applyBorder="1" applyAlignment="1">
      <alignment wrapText="1"/>
    </xf>
    <xf numFmtId="0" fontId="5" fillId="2" borderId="19" xfId="2" applyFont="1" applyFill="1" applyBorder="1" applyAlignment="1">
      <alignment horizontal="left" wrapText="1"/>
    </xf>
    <xf numFmtId="0" fontId="3" fillId="0" borderId="33" xfId="1" applyFont="1" applyBorder="1"/>
    <xf numFmtId="0" fontId="4" fillId="0" borderId="0" xfId="1" applyFont="1" applyAlignment="1">
      <alignment horizontal="left"/>
    </xf>
    <xf numFmtId="0" fontId="3" fillId="3" borderId="15" xfId="1" applyFont="1" applyFill="1" applyBorder="1" applyAlignment="1">
      <alignment horizontal="center" vertical="top"/>
    </xf>
    <xf numFmtId="0" fontId="9" fillId="0" borderId="3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3" borderId="15" xfId="1" applyFont="1" applyFill="1" applyBorder="1"/>
    <xf numFmtId="0" fontId="3" fillId="3" borderId="16" xfId="1" applyFont="1" applyFill="1" applyBorder="1" applyAlignment="1">
      <alignment horizontal="right"/>
    </xf>
    <xf numFmtId="0" fontId="3" fillId="4" borderId="34" xfId="1" applyFont="1" applyFill="1" applyBorder="1" applyAlignment="1">
      <alignment horizontal="left"/>
    </xf>
    <xf numFmtId="0" fontId="10" fillId="3" borderId="15" xfId="1" applyFont="1" applyFill="1" applyBorder="1"/>
    <xf numFmtId="0" fontId="3" fillId="4" borderId="34" xfId="1" applyFont="1" applyFill="1" applyBorder="1"/>
    <xf numFmtId="0" fontId="11" fillId="0" borderId="34" xfId="1" applyFont="1" applyBorder="1" applyAlignment="1">
      <alignment horizontal="left"/>
    </xf>
    <xf numFmtId="0" fontId="3" fillId="0" borderId="34" xfId="1" applyFont="1" applyBorder="1" applyAlignment="1">
      <alignment horizontal="center"/>
    </xf>
    <xf numFmtId="0" fontId="3" fillId="0" borderId="34" xfId="1" applyFont="1" applyBorder="1"/>
    <xf numFmtId="165" fontId="3" fillId="0" borderId="34" xfId="1" applyNumberFormat="1" applyFont="1" applyBorder="1" applyAlignment="1">
      <alignment vertical="top" textRotation="255"/>
    </xf>
    <xf numFmtId="0" fontId="7" fillId="0" borderId="0" xfId="1" applyFont="1" applyAlignment="1">
      <alignment vertical="top"/>
    </xf>
    <xf numFmtId="0" fontId="13" fillId="3" borderId="16" xfId="1" applyFont="1" applyFill="1" applyBorder="1" applyAlignment="1">
      <alignment horizontal="right" vertical="top"/>
    </xf>
    <xf numFmtId="0" fontId="3" fillId="5" borderId="31" xfId="1" applyFont="1" applyFill="1" applyBorder="1" applyAlignment="1">
      <alignment horizontal="center" vertical="center"/>
    </xf>
    <xf numFmtId="0" fontId="3" fillId="6" borderId="0" xfId="1" applyFont="1" applyFill="1"/>
    <xf numFmtId="0" fontId="4" fillId="6" borderId="0" xfId="1" applyFont="1" applyFill="1" applyAlignment="1">
      <alignment horizontal="left"/>
    </xf>
    <xf numFmtId="0" fontId="4" fillId="0" borderId="0" xfId="1" applyFont="1"/>
    <xf numFmtId="0" fontId="9" fillId="0" borderId="35" xfId="1" applyFont="1" applyBorder="1" applyAlignment="1">
      <alignment horizontal="center"/>
    </xf>
    <xf numFmtId="0" fontId="3" fillId="0" borderId="35" xfId="1" applyFont="1" applyBorder="1" applyAlignment="1">
      <alignment horizontal="center"/>
    </xf>
    <xf numFmtId="165" fontId="3" fillId="0" borderId="35" xfId="1" applyNumberFormat="1" applyFont="1" applyBorder="1" applyAlignment="1">
      <alignment vertical="top" textRotation="255"/>
    </xf>
    <xf numFmtId="0" fontId="3" fillId="0" borderId="36" xfId="1" applyFont="1" applyBorder="1"/>
    <xf numFmtId="0" fontId="3" fillId="0" borderId="36" xfId="1" applyFont="1" applyBorder="1" applyAlignment="1">
      <alignment textRotation="255"/>
    </xf>
    <xf numFmtId="0" fontId="3" fillId="0" borderId="37" xfId="1" applyFont="1" applyBorder="1" applyAlignment="1">
      <alignment textRotation="255"/>
    </xf>
    <xf numFmtId="0" fontId="8" fillId="6" borderId="38" xfId="1" applyFont="1" applyFill="1" applyBorder="1"/>
    <xf numFmtId="0" fontId="16" fillId="6" borderId="40" xfId="1" applyFont="1" applyFill="1" applyBorder="1" applyAlignment="1">
      <alignment vertical="center"/>
    </xf>
    <xf numFmtId="0" fontId="16" fillId="6" borderId="41" xfId="1" applyFont="1" applyFill="1" applyBorder="1" applyAlignment="1">
      <alignment vertical="center"/>
    </xf>
    <xf numFmtId="0" fontId="16" fillId="6" borderId="43" xfId="1" applyFont="1" applyFill="1" applyBorder="1" applyAlignment="1">
      <alignment vertical="top" textRotation="180"/>
    </xf>
    <xf numFmtId="0" fontId="7" fillId="6" borderId="43" xfId="1" applyFont="1" applyFill="1" applyBorder="1" applyAlignment="1">
      <alignment vertical="top" textRotation="180"/>
    </xf>
    <xf numFmtId="0" fontId="7" fillId="6" borderId="44" xfId="1" applyFont="1" applyFill="1" applyBorder="1" applyAlignment="1">
      <alignment vertical="top" textRotation="180"/>
    </xf>
    <xf numFmtId="0" fontId="3" fillId="3" borderId="3" xfId="1" applyFont="1" applyFill="1" applyBorder="1" applyAlignment="1">
      <alignment horizontal="center" vertical="top"/>
    </xf>
    <xf numFmtId="0" fontId="3" fillId="3" borderId="5" xfId="1" applyFont="1" applyFill="1" applyBorder="1" applyAlignment="1">
      <alignment horizontal="right" vertical="top"/>
    </xf>
    <xf numFmtId="0" fontId="4" fillId="3" borderId="45" xfId="1" applyFont="1" applyFill="1" applyBorder="1" applyAlignment="1">
      <alignment horizontal="left" vertical="top"/>
    </xf>
    <xf numFmtId="0" fontId="4" fillId="3" borderId="46" xfId="1" applyFont="1" applyFill="1" applyBorder="1"/>
    <xf numFmtId="0" fontId="4" fillId="3" borderId="3" xfId="1" applyFont="1" applyFill="1" applyBorder="1"/>
    <xf numFmtId="0" fontId="3" fillId="4" borderId="47" xfId="1" applyFont="1" applyFill="1" applyBorder="1" applyAlignment="1">
      <alignment horizontal="left"/>
    </xf>
    <xf numFmtId="0" fontId="9" fillId="0" borderId="47" xfId="1" applyFont="1" applyBorder="1" applyAlignment="1">
      <alignment horizontal="center"/>
    </xf>
    <xf numFmtId="0" fontId="9" fillId="0" borderId="48" xfId="1" applyFont="1" applyBorder="1" applyAlignment="1">
      <alignment horizontal="center"/>
    </xf>
    <xf numFmtId="0" fontId="4" fillId="3" borderId="45" xfId="1" applyFont="1" applyFill="1" applyBorder="1"/>
    <xf numFmtId="0" fontId="4" fillId="3" borderId="49" xfId="1" applyFont="1" applyFill="1" applyBorder="1"/>
    <xf numFmtId="0" fontId="9" fillId="0" borderId="36" xfId="1" applyFont="1" applyBorder="1" applyAlignment="1">
      <alignment horizontal="center"/>
    </xf>
    <xf numFmtId="0" fontId="9" fillId="0" borderId="37" xfId="1" applyFont="1" applyBorder="1" applyAlignment="1">
      <alignment horizont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19" fillId="0" borderId="0" xfId="1" applyFont="1"/>
    <xf numFmtId="0" fontId="13" fillId="0" borderId="15" xfId="1" applyFont="1" applyBorder="1" applyAlignment="1">
      <alignment horizontal="right"/>
    </xf>
    <xf numFmtId="0" fontId="13" fillId="0" borderId="16" xfId="1" applyFont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46" xfId="1" applyFont="1" applyFill="1" applyBorder="1" applyAlignment="1">
      <alignment horizontal="left" vertical="top"/>
    </xf>
    <xf numFmtId="0" fontId="5" fillId="4" borderId="5" xfId="1" applyFont="1" applyFill="1" applyBorder="1" applyAlignment="1">
      <alignment horizontal="right"/>
    </xf>
    <xf numFmtId="0" fontId="14" fillId="4" borderId="16" xfId="1" applyFont="1" applyFill="1" applyBorder="1" applyAlignment="1">
      <alignment horizontal="right"/>
    </xf>
    <xf numFmtId="0" fontId="13" fillId="0" borderId="16" xfId="1" applyFont="1" applyBorder="1" applyAlignment="1">
      <alignment vertical="top"/>
    </xf>
    <xf numFmtId="0" fontId="15" fillId="3" borderId="45" xfId="1" applyFont="1" applyFill="1" applyBorder="1" applyAlignment="1">
      <alignment horizontal="left" vertical="top"/>
    </xf>
    <xf numFmtId="0" fontId="13" fillId="4" borderId="16" xfId="1" applyFont="1" applyFill="1" applyBorder="1" applyAlignment="1">
      <alignment horizontal="right"/>
    </xf>
    <xf numFmtId="0" fontId="3" fillId="0" borderId="15" xfId="1" applyFont="1" applyBorder="1" applyAlignment="1">
      <alignment horizontal="right"/>
    </xf>
    <xf numFmtId="0" fontId="3" fillId="4" borderId="16" xfId="1" applyFont="1" applyFill="1" applyBorder="1" applyAlignment="1">
      <alignment horizontal="right"/>
    </xf>
    <xf numFmtId="0" fontId="4" fillId="3" borderId="49" xfId="1" applyFont="1" applyFill="1" applyBorder="1" applyAlignment="1">
      <alignment horizontal="left" vertical="top"/>
    </xf>
    <xf numFmtId="0" fontId="3" fillId="3" borderId="50" xfId="1" applyFont="1" applyFill="1" applyBorder="1" applyAlignment="1">
      <alignment horizontal="center" vertical="top"/>
    </xf>
    <xf numFmtId="0" fontId="13" fillId="3" borderId="39" xfId="1" applyFont="1" applyFill="1" applyBorder="1" applyAlignment="1">
      <alignment horizontal="right" vertical="top"/>
    </xf>
    <xf numFmtId="0" fontId="3" fillId="4" borderId="39" xfId="1" applyFont="1" applyFill="1" applyBorder="1" applyAlignment="1">
      <alignment horizontal="right"/>
    </xf>
    <xf numFmtId="0" fontId="16" fillId="6" borderId="51" xfId="1" applyFont="1" applyFill="1" applyBorder="1" applyAlignment="1">
      <alignment vertical="top"/>
    </xf>
    <xf numFmtId="0" fontId="16" fillId="6" borderId="52" xfId="1" applyFont="1" applyFill="1" applyBorder="1" applyAlignment="1">
      <alignment vertical="top"/>
    </xf>
    <xf numFmtId="0" fontId="16" fillId="6" borderId="53" xfId="1" applyFont="1" applyFill="1" applyBorder="1" applyAlignment="1">
      <alignment vertical="top"/>
    </xf>
    <xf numFmtId="0" fontId="0" fillId="0" borderId="3" xfId="0" applyBorder="1" applyAlignment="1">
      <alignment vertical="center" wrapText="1"/>
    </xf>
    <xf numFmtId="0" fontId="4" fillId="3" borderId="15" xfId="1" applyFont="1" applyFill="1" applyBorder="1"/>
    <xf numFmtId="0" fontId="0" fillId="0" borderId="15" xfId="0" applyBorder="1" applyAlignment="1">
      <alignment vertical="center" wrapText="1"/>
    </xf>
    <xf numFmtId="0" fontId="3" fillId="0" borderId="54" xfId="1" applyFont="1" applyBorder="1"/>
    <xf numFmtId="0" fontId="10" fillId="3" borderId="50" xfId="1" applyFont="1" applyFill="1" applyBorder="1"/>
    <xf numFmtId="0" fontId="3" fillId="3" borderId="39" xfId="1" applyFont="1" applyFill="1" applyBorder="1" applyAlignment="1">
      <alignment horizontal="right"/>
    </xf>
    <xf numFmtId="0" fontId="3" fillId="4" borderId="36" xfId="1" applyFont="1" applyFill="1" applyBorder="1"/>
    <xf numFmtId="0" fontId="3" fillId="0" borderId="47" xfId="1" applyFont="1" applyBorder="1" applyAlignment="1">
      <alignment horizontal="left"/>
    </xf>
    <xf numFmtId="0" fontId="3" fillId="0" borderId="47" xfId="1" applyFont="1" applyBorder="1" applyAlignment="1">
      <alignment horizontal="center"/>
    </xf>
    <xf numFmtId="0" fontId="3" fillId="0" borderId="55" xfId="1" applyFont="1" applyBorder="1"/>
    <xf numFmtId="0" fontId="3" fillId="0" borderId="56" xfId="1" applyFont="1" applyBorder="1"/>
    <xf numFmtId="0" fontId="21" fillId="3" borderId="16" xfId="1" applyFont="1" applyFill="1" applyBorder="1" applyAlignment="1">
      <alignment horizontal="right" vertical="top"/>
    </xf>
    <xf numFmtId="0" fontId="4" fillId="5" borderId="2" xfId="2" applyFont="1" applyFill="1" applyBorder="1" applyAlignment="1">
      <alignment horizontal="left" wrapText="1"/>
    </xf>
    <xf numFmtId="0" fontId="4" fillId="5" borderId="3" xfId="2" applyFont="1" applyFill="1" applyBorder="1" applyAlignment="1">
      <alignment horizontal="left" wrapText="1"/>
    </xf>
    <xf numFmtId="49" fontId="14" fillId="2" borderId="4" xfId="2" applyNumberFormat="1" applyFont="1" applyFill="1" applyBorder="1" applyAlignment="1">
      <alignment horizontal="left" wrapText="1"/>
    </xf>
    <xf numFmtId="0" fontId="14" fillId="2" borderId="3" xfId="2" applyFont="1" applyFill="1" applyBorder="1" applyAlignment="1">
      <alignment horizontal="left" wrapText="1"/>
    </xf>
    <xf numFmtId="0" fontId="14" fillId="2" borderId="5" xfId="2" applyFont="1" applyFill="1" applyBorder="1" applyAlignment="1">
      <alignment horizontal="left" wrapText="1"/>
    </xf>
    <xf numFmtId="0" fontId="4" fillId="5" borderId="6" xfId="2" applyFont="1" applyFill="1" applyBorder="1" applyAlignment="1">
      <alignment horizontal="left" wrapText="1"/>
    </xf>
    <xf numFmtId="0" fontId="4" fillId="5" borderId="7" xfId="2" applyFont="1" applyFill="1" applyBorder="1" applyAlignment="1">
      <alignment horizontal="left" wrapText="1"/>
    </xf>
    <xf numFmtId="49" fontId="13" fillId="2" borderId="4" xfId="2" applyNumberFormat="1" applyFont="1" applyFill="1" applyBorder="1" applyAlignment="1">
      <alignment horizontal="center" wrapText="1"/>
    </xf>
    <xf numFmtId="0" fontId="13" fillId="2" borderId="3" xfId="2" applyFont="1" applyFill="1" applyBorder="1" applyAlignment="1">
      <alignment horizontal="center" wrapText="1"/>
    </xf>
    <xf numFmtId="0" fontId="13" fillId="2" borderId="8" xfId="2" applyFont="1" applyFill="1" applyBorder="1" applyAlignment="1">
      <alignment horizontal="center" wrapText="1"/>
    </xf>
    <xf numFmtId="0" fontId="4" fillId="5" borderId="9" xfId="2" applyFont="1" applyFill="1" applyBorder="1" applyAlignment="1">
      <alignment horizontal="left" wrapText="1"/>
    </xf>
    <xf numFmtId="0" fontId="4" fillId="5" borderId="10" xfId="2" applyFont="1" applyFill="1" applyBorder="1" applyAlignment="1">
      <alignment horizontal="left" wrapText="1"/>
    </xf>
    <xf numFmtId="0" fontId="14" fillId="2" borderId="11" xfId="2" applyFont="1" applyFill="1" applyBorder="1" applyAlignment="1">
      <alignment horizontal="left" wrapText="1"/>
    </xf>
    <xf numFmtId="0" fontId="14" fillId="2" borderId="12" xfId="2" applyFont="1" applyFill="1" applyBorder="1" applyAlignment="1">
      <alignment horizontal="left" wrapText="1"/>
    </xf>
    <xf numFmtId="0" fontId="14" fillId="2" borderId="13" xfId="2" applyFont="1" applyFill="1" applyBorder="1" applyAlignment="1">
      <alignment horizontal="left" wrapText="1"/>
    </xf>
    <xf numFmtId="0" fontId="4" fillId="5" borderId="14" xfId="2" applyFont="1" applyFill="1" applyBorder="1" applyAlignment="1">
      <alignment horizontal="left" wrapText="1"/>
    </xf>
    <xf numFmtId="0" fontId="4" fillId="5" borderId="15" xfId="2" applyFont="1" applyFill="1" applyBorder="1" applyAlignment="1">
      <alignment horizontal="left" wrapText="1"/>
    </xf>
    <xf numFmtId="0" fontId="4" fillId="5" borderId="16" xfId="2" applyFont="1" applyFill="1" applyBorder="1" applyAlignment="1">
      <alignment horizontal="left" wrapText="1"/>
    </xf>
    <xf numFmtId="0" fontId="5" fillId="2" borderId="12" xfId="2" applyFont="1" applyFill="1" applyBorder="1" applyAlignment="1">
      <alignment horizontal="left" wrapText="1"/>
    </xf>
    <xf numFmtId="0" fontId="3" fillId="5" borderId="26" xfId="1" applyFont="1" applyFill="1" applyBorder="1" applyAlignment="1">
      <alignment horizontal="center" vertical="center"/>
    </xf>
    <xf numFmtId="0" fontId="3" fillId="5" borderId="27" xfId="1" applyFont="1" applyFill="1" applyBorder="1" applyAlignment="1">
      <alignment horizontal="center" vertical="center"/>
    </xf>
    <xf numFmtId="0" fontId="3" fillId="5" borderId="28" xfId="1" applyFont="1" applyFill="1" applyBorder="1" applyAlignment="1">
      <alignment horizontal="center" vertical="center"/>
    </xf>
    <xf numFmtId="0" fontId="3" fillId="5" borderId="29" xfId="1" applyFont="1" applyFill="1" applyBorder="1" applyAlignment="1">
      <alignment horizontal="center" vertical="center"/>
    </xf>
    <xf numFmtId="0" fontId="3" fillId="5" borderId="30" xfId="1" applyFont="1" applyFill="1" applyBorder="1" applyAlignment="1">
      <alignment horizontal="center" vertical="center"/>
    </xf>
    <xf numFmtId="0" fontId="3" fillId="5" borderId="31" xfId="1" applyFont="1" applyFill="1" applyBorder="1" applyAlignment="1">
      <alignment horizontal="center" vertical="center"/>
    </xf>
    <xf numFmtId="0" fontId="3" fillId="5" borderId="32" xfId="1" applyFont="1" applyFill="1" applyBorder="1" applyAlignment="1">
      <alignment horizontal="center" vertical="center"/>
    </xf>
    <xf numFmtId="0" fontId="14" fillId="2" borderId="18" xfId="2" applyFont="1" applyFill="1" applyBorder="1" applyAlignment="1">
      <alignment horizontal="center" wrapText="1"/>
    </xf>
    <xf numFmtId="0" fontId="14" fillId="2" borderId="19" xfId="2" applyFont="1" applyFill="1" applyBorder="1" applyAlignment="1">
      <alignment horizontal="center" wrapText="1"/>
    </xf>
    <xf numFmtId="0" fontId="3" fillId="5" borderId="20" xfId="2" applyFont="1" applyFill="1" applyBorder="1" applyAlignment="1">
      <alignment horizontal="center" wrapText="1"/>
    </xf>
    <xf numFmtId="0" fontId="3" fillId="5" borderId="19" xfId="2" applyFont="1" applyFill="1" applyBorder="1" applyAlignment="1">
      <alignment horizontal="center" wrapText="1"/>
    </xf>
    <xf numFmtId="0" fontId="3" fillId="5" borderId="21" xfId="2" applyFont="1" applyFill="1" applyBorder="1" applyAlignment="1">
      <alignment horizontal="center" wrapText="1"/>
    </xf>
    <xf numFmtId="0" fontId="14" fillId="2" borderId="22" xfId="2" applyFont="1" applyFill="1" applyBorder="1" applyAlignment="1">
      <alignment horizontal="left" wrapText="1"/>
    </xf>
    <xf numFmtId="0" fontId="14" fillId="2" borderId="23" xfId="2" applyFont="1" applyFill="1" applyBorder="1" applyAlignment="1">
      <alignment horizontal="left" wrapText="1"/>
    </xf>
    <xf numFmtId="0" fontId="4" fillId="5" borderId="9" xfId="1" applyFont="1" applyFill="1" applyBorder="1" applyAlignment="1">
      <alignment horizontal="center" vertical="center"/>
    </xf>
    <xf numFmtId="0" fontId="4" fillId="5" borderId="10" xfId="1" applyFont="1" applyFill="1" applyBorder="1" applyAlignment="1">
      <alignment horizontal="center" vertical="center"/>
    </xf>
    <xf numFmtId="0" fontId="4" fillId="5" borderId="18" xfId="1" applyFont="1" applyFill="1" applyBorder="1" applyAlignment="1">
      <alignment horizontal="center" vertical="center" wrapText="1"/>
    </xf>
    <xf numFmtId="0" fontId="4" fillId="5" borderId="19" xfId="1" applyFont="1" applyFill="1" applyBorder="1" applyAlignment="1">
      <alignment horizontal="center" vertical="center" wrapText="1"/>
    </xf>
    <xf numFmtId="0" fontId="4" fillId="5" borderId="10" xfId="1" applyFont="1" applyFill="1" applyBorder="1" applyAlignment="1">
      <alignment horizontal="center" vertical="center" wrapText="1"/>
    </xf>
    <xf numFmtId="0" fontId="4" fillId="5" borderId="24" xfId="1" applyFont="1" applyFill="1" applyBorder="1" applyAlignment="1">
      <alignment horizontal="center" vertical="center" wrapText="1"/>
    </xf>
    <xf numFmtId="0" fontId="4" fillId="5" borderId="20" xfId="1" applyFont="1" applyFill="1" applyBorder="1" applyAlignment="1">
      <alignment horizontal="center" vertical="center" wrapText="1"/>
    </xf>
    <xf numFmtId="0" fontId="4" fillId="5" borderId="25" xfId="1" applyFont="1" applyFill="1" applyBorder="1" applyAlignment="1">
      <alignment horizontal="center" vertical="center" wrapText="1"/>
    </xf>
    <xf numFmtId="0" fontId="3" fillId="0" borderId="39" xfId="1" applyFont="1" applyBorder="1" applyAlignment="1">
      <alignment horizontal="left" vertical="top"/>
    </xf>
    <xf numFmtId="0" fontId="3" fillId="0" borderId="36" xfId="1" applyFont="1" applyBorder="1" applyAlignment="1">
      <alignment horizontal="left" vertical="top"/>
    </xf>
    <xf numFmtId="0" fontId="13" fillId="0" borderId="15" xfId="1" applyFont="1" applyBorder="1" applyAlignment="1">
      <alignment horizontal="right"/>
    </xf>
    <xf numFmtId="0" fontId="13" fillId="0" borderId="16" xfId="1" applyFont="1" applyBorder="1" applyAlignment="1">
      <alignment horizontal="right"/>
    </xf>
    <xf numFmtId="164" fontId="6" fillId="7" borderId="42" xfId="1" applyNumberFormat="1" applyFont="1" applyFill="1" applyBorder="1" applyAlignment="1">
      <alignment horizontal="center" vertical="center"/>
    </xf>
    <xf numFmtId="164" fontId="6" fillId="7" borderId="38" xfId="1" applyNumberFormat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left"/>
    </xf>
    <xf numFmtId="0" fontId="3" fillId="0" borderId="47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3" fillId="0" borderId="34" xfId="1" applyFont="1" applyBorder="1" applyAlignment="1">
      <alignment horizontal="left"/>
    </xf>
    <xf numFmtId="0" fontId="3" fillId="0" borderId="16" xfId="1" applyFont="1" applyBorder="1" applyAlignment="1">
      <alignment horizontal="left" vertical="top"/>
    </xf>
    <xf numFmtId="0" fontId="3" fillId="0" borderId="34" xfId="1" applyFont="1" applyBorder="1" applyAlignment="1">
      <alignment horizontal="left" vertical="top"/>
    </xf>
  </cellXfs>
  <cellStyles count="3">
    <cellStyle name="Normal" xfId="0" builtinId="0"/>
    <cellStyle name="Normal_Sheet1" xfId="2" xr:uid="{F1A57751-6874-47F0-92D9-0B709A9CB2D2}"/>
    <cellStyle name="Normal_Template_UnitTest Case_v0.9" xfId="1" xr:uid="{FB2DBE7B-5051-4FD3-9B5A-1904A8F76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74AA-8414-4AB9-8AE2-552D242E0337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26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27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2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29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4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4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30</v>
      </c>
      <c r="G9" s="37" t="s">
        <v>31</v>
      </c>
      <c r="H9" s="37" t="s">
        <v>32</v>
      </c>
      <c r="I9" s="37" t="s">
        <v>33</v>
      </c>
      <c r="J9" s="37"/>
      <c r="K9" s="38"/>
      <c r="L9" s="38"/>
      <c r="M9" s="38"/>
      <c r="N9" s="38"/>
      <c r="O9" s="38"/>
      <c r="P9" s="38"/>
      <c r="Q9" s="38"/>
      <c r="R9" s="38"/>
      <c r="S9" s="38"/>
      <c r="T9" s="39"/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/>
      <c r="C14" s="10" t="s">
        <v>35</v>
      </c>
      <c r="D14" s="23">
        <v>500</v>
      </c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/>
      <c r="C15" s="10" t="s">
        <v>37</v>
      </c>
      <c r="D15" s="23">
        <v>3</v>
      </c>
      <c r="E15" s="64"/>
      <c r="F15" s="11" t="s">
        <v>36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/>
      <c r="C16" s="10" t="s">
        <v>35</v>
      </c>
      <c r="D16" s="23">
        <v>1000</v>
      </c>
      <c r="E16" s="64"/>
      <c r="F16" s="11"/>
      <c r="G16" s="11" t="s">
        <v>36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 t="s">
        <v>37</v>
      </c>
      <c r="D17" s="23">
        <v>2</v>
      </c>
      <c r="E17" s="64"/>
      <c r="F17" s="11"/>
      <c r="G17" s="11" t="s">
        <v>36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 t="s">
        <v>35</v>
      </c>
      <c r="D18" s="23">
        <v>0.01</v>
      </c>
      <c r="E18" s="64"/>
      <c r="F18" s="11"/>
      <c r="G18" s="11"/>
      <c r="H18" s="11" t="s">
        <v>36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 t="s">
        <v>37</v>
      </c>
      <c r="D19" s="85">
        <v>1</v>
      </c>
      <c r="E19" s="64"/>
      <c r="F19" s="11"/>
      <c r="G19" s="11"/>
      <c r="H19" s="11" t="s">
        <v>36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/>
      <c r="C20" s="10" t="s">
        <v>38</v>
      </c>
      <c r="D20" s="23" t="s">
        <v>39</v>
      </c>
      <c r="E20" s="64"/>
      <c r="F20" s="11"/>
      <c r="G20" s="11"/>
      <c r="H20" s="11"/>
      <c r="I20" s="11" t="s">
        <v>36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/>
      <c r="D21" s="129"/>
      <c r="E21" s="13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/>
      <c r="D22" s="129"/>
      <c r="E22" s="13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/>
      <c r="D23" s="55"/>
      <c r="E23" s="5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/>
      <c r="D24" s="55"/>
      <c r="E24" s="5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/>
      <c r="C25" s="10"/>
      <c r="D25" s="129"/>
      <c r="E25" s="13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/>
      <c r="D26" s="23"/>
      <c r="E26" s="6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8"/>
    </row>
    <row r="28" spans="1:21" ht="13.5" customHeight="1">
      <c r="A28" s="36"/>
      <c r="B28" s="42"/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>
        <v>1500</v>
      </c>
      <c r="E38" s="45"/>
      <c r="F38" s="46" t="s">
        <v>36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 t="s">
        <v>40</v>
      </c>
      <c r="D39" s="76">
        <v>2000</v>
      </c>
      <c r="E39" s="15"/>
      <c r="F39" s="11"/>
      <c r="G39" s="11" t="s">
        <v>36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28"/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 t="s">
        <v>42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28"/>
    </row>
    <row r="41" spans="1:20" ht="13.5" customHeight="1">
      <c r="A41" s="72"/>
      <c r="B41" s="48"/>
      <c r="C41" s="13" t="s">
        <v>40</v>
      </c>
      <c r="D41" s="76">
        <v>0.01</v>
      </c>
      <c r="E41" s="15"/>
      <c r="F41" s="11"/>
      <c r="G41" s="11"/>
      <c r="H41" s="11" t="s">
        <v>36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/>
      <c r="D42" s="76"/>
      <c r="E42" s="1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/>
      <c r="H43" s="11"/>
      <c r="I43" s="11" t="s">
        <v>36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/>
      <c r="H44" s="11"/>
      <c r="I44" s="11" t="s">
        <v>36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46</v>
      </c>
      <c r="G47" s="82" t="s">
        <v>46</v>
      </c>
      <c r="H47" s="82" t="s">
        <v>47</v>
      </c>
      <c r="I47" s="82" t="s">
        <v>48</v>
      </c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3"/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 t="s">
        <v>42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84"/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 t="s">
        <v>49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84"/>
    </row>
    <row r="50" spans="1:20" ht="32.4" thickBot="1">
      <c r="A50" s="73"/>
      <c r="B50" s="127" t="s">
        <v>22</v>
      </c>
      <c r="C50" s="128"/>
      <c r="D50" s="128"/>
      <c r="E50" s="31"/>
      <c r="F50" s="32" t="s">
        <v>50</v>
      </c>
      <c r="G50" s="32" t="s">
        <v>50</v>
      </c>
      <c r="H50" s="32" t="s">
        <v>50</v>
      </c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455A-4BE8-4734-9341-D6478A00EE70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52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53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5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54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5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5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55</v>
      </c>
      <c r="G9" s="37" t="s">
        <v>56</v>
      </c>
      <c r="H9" s="37" t="s">
        <v>57</v>
      </c>
      <c r="I9" s="37" t="s">
        <v>58</v>
      </c>
      <c r="J9" s="37" t="s">
        <v>59</v>
      </c>
      <c r="K9" s="38"/>
      <c r="L9" s="38"/>
      <c r="M9" s="38"/>
      <c r="N9" s="38"/>
      <c r="O9" s="38"/>
      <c r="P9" s="38"/>
      <c r="Q9" s="38"/>
      <c r="R9" s="38"/>
      <c r="S9" s="38"/>
      <c r="T9" s="39"/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/>
      <c r="C14" s="10" t="s">
        <v>60</v>
      </c>
      <c r="D14" s="23">
        <v>0</v>
      </c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/>
      <c r="C15" s="10" t="s">
        <v>60</v>
      </c>
      <c r="D15" s="23">
        <v>999.99</v>
      </c>
      <c r="E15" s="64"/>
      <c r="F15" s="11"/>
      <c r="G15" s="11" t="s">
        <v>36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/>
      <c r="C16" s="10" t="s">
        <v>60</v>
      </c>
      <c r="D16" s="23">
        <v>1000</v>
      </c>
      <c r="E16" s="64"/>
      <c r="F16" s="11"/>
      <c r="G16" s="11"/>
      <c r="H16" s="11" t="s">
        <v>36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 t="s">
        <v>60</v>
      </c>
      <c r="D17" s="23">
        <v>4999.99</v>
      </c>
      <c r="E17" s="64"/>
      <c r="F17" s="11"/>
      <c r="G17" s="11"/>
      <c r="H17" s="11"/>
      <c r="I17" s="11" t="s">
        <v>36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 t="s">
        <v>60</v>
      </c>
      <c r="D18" s="23">
        <v>5000</v>
      </c>
      <c r="E18" s="64"/>
      <c r="F18" s="11"/>
      <c r="G18" s="11"/>
      <c r="H18" s="11"/>
      <c r="I18" s="11"/>
      <c r="J18" s="11" t="s">
        <v>36</v>
      </c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/>
      <c r="D19" s="85"/>
      <c r="E19" s="6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/>
      <c r="C20" s="10"/>
      <c r="D20" s="23"/>
      <c r="E20" s="6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/>
      <c r="D21" s="129"/>
      <c r="E21" s="13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/>
      <c r="D22" s="129"/>
      <c r="E22" s="13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/>
      <c r="D23" s="55"/>
      <c r="E23" s="5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/>
      <c r="D24" s="55"/>
      <c r="E24" s="5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/>
      <c r="C25" s="10"/>
      <c r="D25" s="129"/>
      <c r="E25" s="13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/>
      <c r="D26" s="23"/>
      <c r="E26" s="6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8"/>
    </row>
    <row r="28" spans="1:21" ht="13.5" customHeight="1">
      <c r="A28" s="36"/>
      <c r="B28" s="42"/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>
        <v>0</v>
      </c>
      <c r="E38" s="45"/>
      <c r="F38" s="46" t="s">
        <v>36</v>
      </c>
      <c r="G38" s="46" t="s">
        <v>36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 t="s">
        <v>40</v>
      </c>
      <c r="D39" s="76">
        <v>50</v>
      </c>
      <c r="E39" s="15"/>
      <c r="F39" s="11"/>
      <c r="G39" s="11"/>
      <c r="H39" s="11" t="s">
        <v>36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28"/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 t="s">
        <v>42</v>
      </c>
      <c r="J40" s="11" t="s">
        <v>42</v>
      </c>
      <c r="K40" s="11"/>
      <c r="L40" s="11"/>
      <c r="M40" s="11"/>
      <c r="N40" s="11"/>
      <c r="O40" s="11"/>
      <c r="P40" s="11"/>
      <c r="Q40" s="11"/>
      <c r="R40" s="11"/>
      <c r="S40" s="11"/>
      <c r="T40" s="28"/>
    </row>
    <row r="41" spans="1:20" ht="13.5" customHeight="1">
      <c r="A41" s="72"/>
      <c r="B41" s="48"/>
      <c r="C41" s="13" t="s">
        <v>40</v>
      </c>
      <c r="D41" s="76">
        <v>249.99950000000001</v>
      </c>
      <c r="E41" s="15"/>
      <c r="F41" s="11"/>
      <c r="G41" s="11"/>
      <c r="H41" s="11"/>
      <c r="I41" s="11" t="s">
        <v>36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 t="s">
        <v>40</v>
      </c>
      <c r="D42" s="76">
        <v>500</v>
      </c>
      <c r="E42" s="17"/>
      <c r="F42" s="11"/>
      <c r="G42" s="11"/>
      <c r="H42" s="11"/>
      <c r="I42" s="11"/>
      <c r="J42" s="11" t="s">
        <v>36</v>
      </c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47</v>
      </c>
      <c r="G47" s="82" t="s">
        <v>47</v>
      </c>
      <c r="H47" s="82" t="s">
        <v>47</v>
      </c>
      <c r="I47" s="82" t="s">
        <v>47</v>
      </c>
      <c r="J47" s="82" t="s">
        <v>47</v>
      </c>
      <c r="K47" s="82"/>
      <c r="L47" s="82"/>
      <c r="M47" s="82"/>
      <c r="N47" s="82"/>
      <c r="O47" s="82"/>
      <c r="P47" s="82"/>
      <c r="Q47" s="82"/>
      <c r="R47" s="82"/>
      <c r="S47" s="82"/>
      <c r="T47" s="83"/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 t="s">
        <v>42</v>
      </c>
      <c r="J48" s="19" t="s">
        <v>42</v>
      </c>
      <c r="K48" s="19"/>
      <c r="L48" s="19"/>
      <c r="M48" s="19"/>
      <c r="N48" s="19"/>
      <c r="O48" s="19"/>
      <c r="P48" s="19"/>
      <c r="Q48" s="19"/>
      <c r="R48" s="19"/>
      <c r="S48" s="19"/>
      <c r="T48" s="84"/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 t="s">
        <v>49</v>
      </c>
      <c r="J49" s="21" t="s">
        <v>49</v>
      </c>
      <c r="K49" s="21"/>
      <c r="L49" s="21"/>
      <c r="M49" s="21"/>
      <c r="N49" s="21"/>
      <c r="O49" s="21"/>
      <c r="P49" s="21"/>
      <c r="Q49" s="21"/>
      <c r="R49" s="21"/>
      <c r="S49" s="21"/>
      <c r="T49" s="84"/>
    </row>
    <row r="50" spans="1:20" ht="32.4" thickBot="1">
      <c r="A50" s="73"/>
      <c r="B50" s="127" t="s">
        <v>22</v>
      </c>
      <c r="C50" s="128"/>
      <c r="D50" s="128"/>
      <c r="E50" s="31"/>
      <c r="F50" s="32"/>
      <c r="G50" s="32"/>
      <c r="H50" s="32" t="s">
        <v>61</v>
      </c>
      <c r="I50" s="32" t="s">
        <v>61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1B14-0099-4BE1-AD65-3D4E6FBE7BD4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62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53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5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54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4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4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63</v>
      </c>
      <c r="G9" s="37" t="s">
        <v>64</v>
      </c>
      <c r="H9" s="37" t="s">
        <v>65</v>
      </c>
      <c r="I9" s="37" t="s">
        <v>66</v>
      </c>
      <c r="J9" s="37"/>
      <c r="K9" s="38"/>
      <c r="L9" s="38"/>
      <c r="M9" s="38"/>
      <c r="N9" s="38"/>
      <c r="O9" s="38"/>
      <c r="P9" s="38"/>
      <c r="Q9" s="38"/>
      <c r="R9" s="38"/>
      <c r="S9" s="38"/>
      <c r="T9" s="39"/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/>
      <c r="C14" s="10" t="s">
        <v>60</v>
      </c>
      <c r="D14" s="23">
        <v>9999.99</v>
      </c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/>
      <c r="C15" s="10" t="s">
        <v>60</v>
      </c>
      <c r="D15" s="23">
        <v>10000</v>
      </c>
      <c r="E15" s="64"/>
      <c r="F15" s="11"/>
      <c r="G15" s="11" t="s">
        <v>36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/>
      <c r="C16" s="10" t="s">
        <v>60</v>
      </c>
      <c r="D16" s="23">
        <v>20000</v>
      </c>
      <c r="E16" s="64"/>
      <c r="F16" s="11"/>
      <c r="G16" s="11"/>
      <c r="H16" s="11" t="s">
        <v>36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 t="s">
        <v>60</v>
      </c>
      <c r="D17" s="23">
        <v>-1</v>
      </c>
      <c r="E17" s="64"/>
      <c r="F17" s="11"/>
      <c r="G17" s="11"/>
      <c r="H17" s="11"/>
      <c r="I17" s="11" t="s">
        <v>36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/>
      <c r="D18" s="23"/>
      <c r="E18" s="64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/>
      <c r="D19" s="85"/>
      <c r="E19" s="6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/>
      <c r="C20" s="10"/>
      <c r="D20" s="23"/>
      <c r="E20" s="6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/>
      <c r="D21" s="129"/>
      <c r="E21" s="13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/>
      <c r="D22" s="129"/>
      <c r="E22" s="13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/>
      <c r="D23" s="55"/>
      <c r="E23" s="5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/>
      <c r="D24" s="55"/>
      <c r="E24" s="5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/>
      <c r="C25" s="10"/>
      <c r="D25" s="129"/>
      <c r="E25" s="13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/>
      <c r="D26" s="23"/>
      <c r="E26" s="6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8"/>
    </row>
    <row r="28" spans="1:21" ht="13.5" customHeight="1">
      <c r="A28" s="36"/>
      <c r="B28" s="42"/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>
        <v>999.99900000000002</v>
      </c>
      <c r="E38" s="45"/>
      <c r="F38" s="46" t="s">
        <v>36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 t="s">
        <v>40</v>
      </c>
      <c r="D39" s="76">
        <v>1500</v>
      </c>
      <c r="E39" s="15"/>
      <c r="F39" s="11"/>
      <c r="G39" s="11" t="s">
        <v>36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28"/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 t="s">
        <v>42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28"/>
    </row>
    <row r="41" spans="1:20" ht="13.5" customHeight="1">
      <c r="A41" s="72"/>
      <c r="B41" s="48"/>
      <c r="C41" s="13" t="s">
        <v>40</v>
      </c>
      <c r="D41" s="76">
        <v>3000</v>
      </c>
      <c r="E41" s="15"/>
      <c r="F41" s="11"/>
      <c r="G41" s="11"/>
      <c r="H41" s="11" t="s">
        <v>36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/>
      <c r="D42" s="76"/>
      <c r="E42" s="1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/>
      <c r="H43" s="11"/>
      <c r="I43" s="11" t="s">
        <v>36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/>
      <c r="H44" s="11"/>
      <c r="I44" s="11" t="s">
        <v>36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47</v>
      </c>
      <c r="G47" s="82" t="s">
        <v>47</v>
      </c>
      <c r="H47" s="82" t="s">
        <v>46</v>
      </c>
      <c r="I47" s="82" t="s">
        <v>48</v>
      </c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3"/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 t="s">
        <v>42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84"/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 t="s">
        <v>49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84"/>
    </row>
    <row r="50" spans="1:20" ht="10.8" thickBot="1">
      <c r="A50" s="73"/>
      <c r="B50" s="127" t="s">
        <v>22</v>
      </c>
      <c r="C50" s="128"/>
      <c r="D50" s="128"/>
      <c r="E50" s="31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22EE-7CA1-49CB-9DA7-883A122FD2DA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67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68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3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69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5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5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70</v>
      </c>
      <c r="G9" s="37" t="s">
        <v>71</v>
      </c>
      <c r="H9" s="37" t="s">
        <v>72</v>
      </c>
      <c r="I9" s="37" t="s">
        <v>73</v>
      </c>
      <c r="J9" s="37" t="s">
        <v>74</v>
      </c>
      <c r="K9" s="38"/>
      <c r="L9" s="38"/>
      <c r="M9" s="38"/>
      <c r="N9" s="38"/>
      <c r="O9" s="38"/>
      <c r="P9" s="38"/>
      <c r="Q9" s="38"/>
      <c r="R9" s="38"/>
      <c r="S9" s="38"/>
      <c r="T9" s="39"/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/>
      <c r="C14" s="10" t="s">
        <v>60</v>
      </c>
      <c r="D14" s="23">
        <v>0</v>
      </c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/>
      <c r="C15" s="10" t="s">
        <v>60</v>
      </c>
      <c r="D15" s="23">
        <v>1999.99</v>
      </c>
      <c r="E15" s="64"/>
      <c r="F15" s="11"/>
      <c r="G15" s="11" t="s">
        <v>36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/>
      <c r="C16" s="10" t="s">
        <v>60</v>
      </c>
      <c r="D16" s="23">
        <v>2000</v>
      </c>
      <c r="E16" s="64"/>
      <c r="F16" s="11"/>
      <c r="G16" s="11"/>
      <c r="H16" s="11" t="s">
        <v>36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 t="s">
        <v>60</v>
      </c>
      <c r="D17" s="23">
        <v>2000.01</v>
      </c>
      <c r="E17" s="64"/>
      <c r="F17" s="11"/>
      <c r="G17" s="11"/>
      <c r="H17" s="11"/>
      <c r="I17" s="11" t="s">
        <v>36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 t="s">
        <v>60</v>
      </c>
      <c r="D18" s="23">
        <v>-1</v>
      </c>
      <c r="E18" s="64"/>
      <c r="F18" s="11"/>
      <c r="G18" s="11"/>
      <c r="H18" s="11"/>
      <c r="I18" s="11"/>
      <c r="J18" s="11" t="s">
        <v>36</v>
      </c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/>
      <c r="D19" s="85"/>
      <c r="E19" s="6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/>
      <c r="C20" s="10"/>
      <c r="D20" s="23"/>
      <c r="E20" s="6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/>
      <c r="D21" s="129"/>
      <c r="E21" s="13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/>
      <c r="D22" s="129"/>
      <c r="E22" s="13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/>
      <c r="D23" s="55"/>
      <c r="E23" s="5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/>
      <c r="D24" s="55"/>
      <c r="E24" s="5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/>
      <c r="C25" s="10"/>
      <c r="D25" s="129"/>
      <c r="E25" s="13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/>
      <c r="D26" s="23"/>
      <c r="E26" s="6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8"/>
    </row>
    <row r="28" spans="1:21" ht="13.5" customHeight="1">
      <c r="A28" s="36"/>
      <c r="B28" s="42"/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>
        <v>50</v>
      </c>
      <c r="E38" s="45"/>
      <c r="F38" s="46" t="s">
        <v>36</v>
      </c>
      <c r="G38" s="46" t="s">
        <v>36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 t="s">
        <v>40</v>
      </c>
      <c r="D39" s="76">
        <v>0</v>
      </c>
      <c r="E39" s="15"/>
      <c r="F39" s="11"/>
      <c r="G39" s="11"/>
      <c r="H39" s="11" t="s">
        <v>36</v>
      </c>
      <c r="I39" s="11" t="s">
        <v>36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28"/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 t="s">
        <v>42</v>
      </c>
      <c r="J40" s="11" t="s">
        <v>42</v>
      </c>
      <c r="K40" s="11"/>
      <c r="L40" s="11"/>
      <c r="M40" s="11"/>
      <c r="N40" s="11"/>
      <c r="O40" s="11"/>
      <c r="P40" s="11"/>
      <c r="Q40" s="11"/>
      <c r="R40" s="11"/>
      <c r="S40" s="11"/>
      <c r="T40" s="28"/>
    </row>
    <row r="41" spans="1:20" ht="13.5" customHeight="1">
      <c r="A41" s="72"/>
      <c r="B41" s="48"/>
      <c r="C41" s="13"/>
      <c r="D41" s="76"/>
      <c r="E41" s="15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/>
      <c r="D42" s="76"/>
      <c r="E42" s="1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/>
      <c r="H43" s="11"/>
      <c r="I43" s="11"/>
      <c r="J43" s="11" t="s">
        <v>36</v>
      </c>
      <c r="K43" s="11"/>
      <c r="L43" s="11"/>
      <c r="M43" s="11"/>
      <c r="N43" s="11"/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/>
      <c r="H44" s="11"/>
      <c r="I44" s="11"/>
      <c r="J44" s="11" t="s">
        <v>36</v>
      </c>
      <c r="K44" s="11"/>
      <c r="L44" s="11"/>
      <c r="M44" s="11"/>
      <c r="N44" s="11"/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47</v>
      </c>
      <c r="G47" s="82" t="s">
        <v>47</v>
      </c>
      <c r="H47" s="82" t="s">
        <v>47</v>
      </c>
      <c r="I47" s="82" t="s">
        <v>47</v>
      </c>
      <c r="J47" s="82" t="s">
        <v>48</v>
      </c>
      <c r="K47" s="82"/>
      <c r="L47" s="82"/>
      <c r="M47" s="82"/>
      <c r="N47" s="82"/>
      <c r="O47" s="82"/>
      <c r="P47" s="82"/>
      <c r="Q47" s="82"/>
      <c r="R47" s="82"/>
      <c r="S47" s="82"/>
      <c r="T47" s="83"/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 t="s">
        <v>42</v>
      </c>
      <c r="J48" s="19" t="s">
        <v>42</v>
      </c>
      <c r="K48" s="19"/>
      <c r="L48" s="19"/>
      <c r="M48" s="19"/>
      <c r="N48" s="19"/>
      <c r="O48" s="19"/>
      <c r="P48" s="19"/>
      <c r="Q48" s="19"/>
      <c r="R48" s="19"/>
      <c r="S48" s="19"/>
      <c r="T48" s="84"/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 t="s">
        <v>49</v>
      </c>
      <c r="J49" s="21" t="s">
        <v>49</v>
      </c>
      <c r="K49" s="21"/>
      <c r="L49" s="21"/>
      <c r="M49" s="21"/>
      <c r="N49" s="21"/>
      <c r="O49" s="21"/>
      <c r="P49" s="21"/>
      <c r="Q49" s="21"/>
      <c r="R49" s="21"/>
      <c r="S49" s="21"/>
      <c r="T49" s="84"/>
    </row>
    <row r="50" spans="1:20" ht="32.4" thickBot="1">
      <c r="A50" s="73"/>
      <c r="B50" s="127" t="s">
        <v>22</v>
      </c>
      <c r="C50" s="128"/>
      <c r="D50" s="128"/>
      <c r="E50" s="31"/>
      <c r="F50" s="32"/>
      <c r="G50" s="32"/>
      <c r="H50" s="32" t="s">
        <v>75</v>
      </c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7A7B-545B-469F-8235-BC944DE7C3EC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76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77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4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78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4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4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79</v>
      </c>
      <c r="G9" s="37" t="s">
        <v>80</v>
      </c>
      <c r="H9" s="37" t="s">
        <v>81</v>
      </c>
      <c r="I9" s="37" t="s">
        <v>82</v>
      </c>
      <c r="J9" s="37"/>
      <c r="K9" s="38"/>
      <c r="L9" s="38"/>
      <c r="M9" s="38"/>
      <c r="N9" s="38"/>
      <c r="O9" s="38"/>
      <c r="P9" s="38"/>
      <c r="Q9" s="38"/>
      <c r="R9" s="38"/>
      <c r="S9" s="38"/>
      <c r="T9" s="39"/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/>
      <c r="C14" s="10" t="s">
        <v>35</v>
      </c>
      <c r="D14" s="23">
        <v>500</v>
      </c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/>
      <c r="C15" s="10" t="s">
        <v>37</v>
      </c>
      <c r="D15" s="23">
        <v>3</v>
      </c>
      <c r="E15" s="64"/>
      <c r="F15" s="11" t="s">
        <v>36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/>
      <c r="C16" s="10" t="s">
        <v>35</v>
      </c>
      <c r="D16" s="23">
        <v>1000</v>
      </c>
      <c r="E16" s="64"/>
      <c r="F16" s="11"/>
      <c r="G16" s="11" t="s">
        <v>36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 t="s">
        <v>37</v>
      </c>
      <c r="D17" s="23">
        <v>2</v>
      </c>
      <c r="E17" s="64"/>
      <c r="F17" s="11"/>
      <c r="G17" s="11" t="s">
        <v>36</v>
      </c>
      <c r="H17" s="11" t="s">
        <v>36</v>
      </c>
      <c r="I17" s="11" t="s">
        <v>36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 t="s">
        <v>35</v>
      </c>
      <c r="D18" s="23">
        <v>2500</v>
      </c>
      <c r="E18" s="64"/>
      <c r="F18" s="11"/>
      <c r="G18" s="11"/>
      <c r="H18" s="11" t="s">
        <v>36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 t="s">
        <v>35</v>
      </c>
      <c r="D19" s="85">
        <v>5000</v>
      </c>
      <c r="E19" s="64"/>
      <c r="F19" s="11"/>
      <c r="G19" s="11"/>
      <c r="H19" s="11"/>
      <c r="I19" s="11" t="s">
        <v>36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/>
      <c r="C20" s="10"/>
      <c r="D20" s="23"/>
      <c r="E20" s="6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/>
      <c r="D21" s="129"/>
      <c r="E21" s="13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/>
      <c r="D22" s="129"/>
      <c r="E22" s="13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/>
      <c r="D23" s="55"/>
      <c r="E23" s="5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/>
      <c r="D24" s="55"/>
      <c r="E24" s="5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/>
      <c r="C25" s="10"/>
      <c r="D25" s="129"/>
      <c r="E25" s="13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/>
      <c r="D26" s="23"/>
      <c r="E26" s="6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8"/>
    </row>
    <row r="28" spans="1:21" ht="13.5" customHeight="1">
      <c r="A28" s="36"/>
      <c r="B28" s="42"/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>
        <v>1475</v>
      </c>
      <c r="E38" s="45"/>
      <c r="F38" s="46" t="s">
        <v>36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 t="s">
        <v>40</v>
      </c>
      <c r="D39" s="76">
        <v>1900</v>
      </c>
      <c r="E39" s="15"/>
      <c r="F39" s="11"/>
      <c r="G39" s="11" t="s">
        <v>36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28"/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 t="s">
        <v>42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28"/>
    </row>
    <row r="41" spans="1:20" ht="13.5" customHeight="1">
      <c r="A41" s="72"/>
      <c r="B41" s="48"/>
      <c r="C41" s="13" t="s">
        <v>40</v>
      </c>
      <c r="D41" s="76">
        <v>4500</v>
      </c>
      <c r="E41" s="15"/>
      <c r="F41" s="11"/>
      <c r="G41" s="11"/>
      <c r="H41" s="11" t="s">
        <v>36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 t="s">
        <v>40</v>
      </c>
      <c r="D42" s="76">
        <v>8500</v>
      </c>
      <c r="E42" s="17"/>
      <c r="F42" s="11"/>
      <c r="G42" s="11"/>
      <c r="H42" s="11"/>
      <c r="I42" s="11" t="s">
        <v>36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46</v>
      </c>
      <c r="G47" s="82" t="s">
        <v>46</v>
      </c>
      <c r="H47" s="82" t="s">
        <v>46</v>
      </c>
      <c r="I47" s="82" t="s">
        <v>46</v>
      </c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3"/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 t="s">
        <v>42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84"/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 t="s">
        <v>49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84"/>
    </row>
    <row r="50" spans="1:20" ht="32.4" thickBot="1">
      <c r="A50" s="73"/>
      <c r="B50" s="127" t="s">
        <v>22</v>
      </c>
      <c r="C50" s="128"/>
      <c r="D50" s="128"/>
      <c r="E50" s="31"/>
      <c r="F50" s="32" t="s">
        <v>83</v>
      </c>
      <c r="G50" s="32" t="s">
        <v>83</v>
      </c>
      <c r="H50" s="32" t="s">
        <v>83</v>
      </c>
      <c r="I50" s="32" t="s">
        <v>83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4CFA-E3BD-4D31-9D7B-1D6B88E683CD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84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77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4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78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2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2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85</v>
      </c>
      <c r="G9" s="37" t="s">
        <v>86</v>
      </c>
      <c r="H9" s="37"/>
      <c r="I9" s="37"/>
      <c r="J9" s="37"/>
      <c r="K9" s="38"/>
      <c r="L9" s="38"/>
      <c r="M9" s="38"/>
      <c r="N9" s="38"/>
      <c r="O9" s="38"/>
      <c r="P9" s="38"/>
      <c r="Q9" s="38"/>
      <c r="R9" s="38"/>
      <c r="S9" s="38"/>
      <c r="T9" s="39"/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/>
      <c r="C14" s="10" t="s">
        <v>35</v>
      </c>
      <c r="D14" s="23">
        <v>100</v>
      </c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/>
      <c r="C15" s="10" t="s">
        <v>37</v>
      </c>
      <c r="D15" s="23">
        <v>1</v>
      </c>
      <c r="E15" s="64"/>
      <c r="F15" s="11" t="s">
        <v>36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/>
      <c r="C16" s="10" t="s">
        <v>38</v>
      </c>
      <c r="D16" s="23" t="s">
        <v>39</v>
      </c>
      <c r="E16" s="64"/>
      <c r="F16" s="11"/>
      <c r="G16" s="11" t="s">
        <v>36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/>
      <c r="D17" s="23"/>
      <c r="E17" s="64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/>
      <c r="D18" s="23"/>
      <c r="E18" s="64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/>
      <c r="D19" s="85"/>
      <c r="E19" s="6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/>
      <c r="C20" s="10"/>
      <c r="D20" s="23"/>
      <c r="E20" s="6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/>
      <c r="D21" s="129"/>
      <c r="E21" s="13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/>
      <c r="D22" s="129"/>
      <c r="E22" s="13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/>
      <c r="D23" s="55"/>
      <c r="E23" s="5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/>
      <c r="D24" s="55"/>
      <c r="E24" s="5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/>
      <c r="C25" s="10"/>
      <c r="D25" s="129"/>
      <c r="E25" s="13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/>
      <c r="D26" s="23"/>
      <c r="E26" s="6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8"/>
    </row>
    <row r="28" spans="1:21" ht="13.5" customHeight="1">
      <c r="A28" s="36"/>
      <c r="B28" s="42"/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>
        <v>150</v>
      </c>
      <c r="E38" s="45"/>
      <c r="F38" s="46" t="s">
        <v>36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/>
      <c r="D39" s="76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28"/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28"/>
    </row>
    <row r="41" spans="1:20" ht="13.5" customHeight="1">
      <c r="A41" s="72"/>
      <c r="B41" s="48"/>
      <c r="C41" s="13"/>
      <c r="D41" s="76"/>
      <c r="E41" s="15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/>
      <c r="D42" s="76"/>
      <c r="E42" s="1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 t="s">
        <v>36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 t="s">
        <v>36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46</v>
      </c>
      <c r="G47" s="82" t="s">
        <v>48</v>
      </c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3"/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84"/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84"/>
    </row>
    <row r="50" spans="1:20" ht="32.4" thickBot="1">
      <c r="A50" s="73"/>
      <c r="B50" s="127" t="s">
        <v>22</v>
      </c>
      <c r="C50" s="128"/>
      <c r="D50" s="128"/>
      <c r="E50" s="31"/>
      <c r="F50" s="32" t="s">
        <v>83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5C57-21F9-455B-B3A0-4FA64DDEFC9A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87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88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5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89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9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9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90</v>
      </c>
      <c r="G9" s="37" t="s">
        <v>91</v>
      </c>
      <c r="H9" s="37" t="s">
        <v>92</v>
      </c>
      <c r="I9" s="37" t="s">
        <v>93</v>
      </c>
      <c r="J9" s="37" t="s">
        <v>94</v>
      </c>
      <c r="K9" s="38" t="s">
        <v>95</v>
      </c>
      <c r="L9" s="38" t="s">
        <v>96</v>
      </c>
      <c r="M9" s="38" t="s">
        <v>97</v>
      </c>
      <c r="N9" s="38" t="s">
        <v>98</v>
      </c>
      <c r="O9" s="38"/>
      <c r="P9" s="38"/>
      <c r="Q9" s="38"/>
      <c r="R9" s="38"/>
      <c r="S9" s="38"/>
      <c r="T9" s="39"/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/>
      <c r="C14" s="10" t="s">
        <v>99</v>
      </c>
      <c r="D14" s="23">
        <v>0</v>
      </c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/>
      <c r="C15" s="10" t="s">
        <v>99</v>
      </c>
      <c r="D15" s="23">
        <v>999.99</v>
      </c>
      <c r="E15" s="64"/>
      <c r="F15" s="11"/>
      <c r="G15" s="11" t="s">
        <v>36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/>
      <c r="C16" s="10" t="s">
        <v>99</v>
      </c>
      <c r="D16" s="23">
        <v>1000</v>
      </c>
      <c r="E16" s="64"/>
      <c r="F16" s="11"/>
      <c r="G16" s="11"/>
      <c r="H16" s="11" t="s">
        <v>36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 t="s">
        <v>99</v>
      </c>
      <c r="D17" s="23">
        <v>4999.99</v>
      </c>
      <c r="E17" s="64"/>
      <c r="F17" s="11"/>
      <c r="G17" s="11"/>
      <c r="H17" s="11"/>
      <c r="I17" s="11" t="s">
        <v>36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 t="s">
        <v>99</v>
      </c>
      <c r="D18" s="23">
        <v>5000</v>
      </c>
      <c r="E18" s="64"/>
      <c r="F18" s="11"/>
      <c r="G18" s="11"/>
      <c r="H18" s="11"/>
      <c r="I18" s="11"/>
      <c r="J18" s="11" t="s">
        <v>36</v>
      </c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 t="s">
        <v>99</v>
      </c>
      <c r="D19" s="85">
        <v>9999.99</v>
      </c>
      <c r="E19" s="64"/>
      <c r="F19" s="11"/>
      <c r="G19" s="11"/>
      <c r="H19" s="11"/>
      <c r="I19" s="11"/>
      <c r="J19" s="11"/>
      <c r="K19" s="11" t="s">
        <v>36</v>
      </c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/>
      <c r="C20" s="10" t="s">
        <v>99</v>
      </c>
      <c r="D20" s="23">
        <v>10000</v>
      </c>
      <c r="E20" s="64"/>
      <c r="F20" s="11"/>
      <c r="G20" s="11"/>
      <c r="H20" s="11"/>
      <c r="I20" s="11"/>
      <c r="J20" s="11"/>
      <c r="K20" s="11"/>
      <c r="L20" s="11" t="s">
        <v>36</v>
      </c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 t="s">
        <v>99</v>
      </c>
      <c r="D21" s="129">
        <v>10000.01</v>
      </c>
      <c r="E21" s="130"/>
      <c r="F21" s="11"/>
      <c r="G21" s="11"/>
      <c r="H21" s="11"/>
      <c r="I21" s="11"/>
      <c r="J21" s="11"/>
      <c r="K21" s="11"/>
      <c r="L21" s="11"/>
      <c r="M21" s="11" t="s">
        <v>36</v>
      </c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 t="s">
        <v>99</v>
      </c>
      <c r="D22" s="129">
        <v>-1</v>
      </c>
      <c r="E22" s="130"/>
      <c r="F22" s="11"/>
      <c r="G22" s="11"/>
      <c r="H22" s="11"/>
      <c r="I22" s="11"/>
      <c r="J22" s="11"/>
      <c r="K22" s="11"/>
      <c r="L22" s="11"/>
      <c r="M22" s="11"/>
      <c r="N22" s="11" t="s">
        <v>36</v>
      </c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/>
      <c r="D23" s="55"/>
      <c r="E23" s="5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/>
      <c r="D24" s="55"/>
      <c r="E24" s="5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/>
      <c r="C25" s="10"/>
      <c r="D25" s="129"/>
      <c r="E25" s="13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/>
      <c r="D26" s="23"/>
      <c r="E26" s="6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8"/>
    </row>
    <row r="28" spans="1:21" ht="13.5" customHeight="1">
      <c r="A28" s="36"/>
      <c r="B28" s="42"/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 t="s">
        <v>100</v>
      </c>
      <c r="E38" s="45"/>
      <c r="F38" s="46" t="s">
        <v>36</v>
      </c>
      <c r="G38" s="46" t="s">
        <v>36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 t="s">
        <v>40</v>
      </c>
      <c r="D39" s="76" t="s">
        <v>101</v>
      </c>
      <c r="E39" s="15"/>
      <c r="F39" s="11"/>
      <c r="G39" s="11"/>
      <c r="H39" s="11" t="s">
        <v>36</v>
      </c>
      <c r="I39" s="11" t="s">
        <v>36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28"/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 t="s">
        <v>42</v>
      </c>
      <c r="J40" s="11" t="s">
        <v>42</v>
      </c>
      <c r="K40" s="11" t="s">
        <v>42</v>
      </c>
      <c r="L40" s="11" t="s">
        <v>42</v>
      </c>
      <c r="M40" s="11" t="s">
        <v>42</v>
      </c>
      <c r="N40" s="11" t="s">
        <v>42</v>
      </c>
      <c r="O40" s="11"/>
      <c r="P40" s="11"/>
      <c r="Q40" s="11"/>
      <c r="R40" s="11"/>
      <c r="S40" s="11"/>
      <c r="T40" s="28"/>
    </row>
    <row r="41" spans="1:20" ht="13.5" customHeight="1">
      <c r="A41" s="72"/>
      <c r="B41" s="48"/>
      <c r="C41" s="13" t="s">
        <v>40</v>
      </c>
      <c r="D41" s="76" t="s">
        <v>102</v>
      </c>
      <c r="E41" s="15"/>
      <c r="F41" s="11"/>
      <c r="G41" s="11"/>
      <c r="H41" s="11"/>
      <c r="I41" s="11"/>
      <c r="J41" s="11" t="s">
        <v>36</v>
      </c>
      <c r="K41" s="11" t="s">
        <v>36</v>
      </c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 t="s">
        <v>40</v>
      </c>
      <c r="D42" s="76" t="s">
        <v>103</v>
      </c>
      <c r="E42" s="17"/>
      <c r="F42" s="11"/>
      <c r="G42" s="11"/>
      <c r="H42" s="11"/>
      <c r="I42" s="11"/>
      <c r="J42" s="11"/>
      <c r="K42" s="11"/>
      <c r="L42" s="11" t="s">
        <v>36</v>
      </c>
      <c r="M42" s="11" t="s">
        <v>36</v>
      </c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/>
      <c r="H43" s="11"/>
      <c r="I43" s="11"/>
      <c r="J43" s="11"/>
      <c r="K43" s="11"/>
      <c r="L43" s="11"/>
      <c r="M43" s="11"/>
      <c r="N43" s="11" t="s">
        <v>36</v>
      </c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/>
      <c r="H44" s="11"/>
      <c r="I44" s="11"/>
      <c r="J44" s="11"/>
      <c r="K44" s="11"/>
      <c r="L44" s="11"/>
      <c r="M44" s="11"/>
      <c r="N44" s="11" t="s">
        <v>36</v>
      </c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47</v>
      </c>
      <c r="G47" s="82" t="s">
        <v>47</v>
      </c>
      <c r="H47" s="82" t="s">
        <v>47</v>
      </c>
      <c r="I47" s="82" t="s">
        <v>47</v>
      </c>
      <c r="J47" s="82" t="s">
        <v>47</v>
      </c>
      <c r="K47" s="82" t="s">
        <v>47</v>
      </c>
      <c r="L47" s="82" t="s">
        <v>47</v>
      </c>
      <c r="M47" s="82" t="s">
        <v>47</v>
      </c>
      <c r="N47" s="82" t="s">
        <v>48</v>
      </c>
      <c r="O47" s="82"/>
      <c r="P47" s="82"/>
      <c r="Q47" s="82"/>
      <c r="R47" s="82"/>
      <c r="S47" s="82"/>
      <c r="T47" s="83"/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 t="s">
        <v>42</v>
      </c>
      <c r="J48" s="19" t="s">
        <v>42</v>
      </c>
      <c r="K48" s="19" t="s">
        <v>42</v>
      </c>
      <c r="L48" s="19" t="s">
        <v>42</v>
      </c>
      <c r="M48" s="19" t="s">
        <v>42</v>
      </c>
      <c r="N48" s="19" t="s">
        <v>42</v>
      </c>
      <c r="O48" s="19"/>
      <c r="P48" s="19"/>
      <c r="Q48" s="19"/>
      <c r="R48" s="19"/>
      <c r="S48" s="19"/>
      <c r="T48" s="84"/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 t="s">
        <v>49</v>
      </c>
      <c r="J49" s="21" t="s">
        <v>49</v>
      </c>
      <c r="K49" s="21" t="s">
        <v>49</v>
      </c>
      <c r="L49" s="21" t="s">
        <v>49</v>
      </c>
      <c r="M49" s="21" t="s">
        <v>49</v>
      </c>
      <c r="N49" s="21" t="s">
        <v>49</v>
      </c>
      <c r="O49" s="21"/>
      <c r="P49" s="21"/>
      <c r="Q49" s="21"/>
      <c r="R49" s="21"/>
      <c r="S49" s="21"/>
      <c r="T49" s="84"/>
    </row>
    <row r="50" spans="1:20" ht="32.4" thickBot="1">
      <c r="A50" s="73"/>
      <c r="B50" s="127" t="s">
        <v>22</v>
      </c>
      <c r="C50" s="128"/>
      <c r="D50" s="128"/>
      <c r="E50" s="31"/>
      <c r="F50" s="32"/>
      <c r="G50" s="32"/>
      <c r="H50" s="32"/>
      <c r="I50" s="32"/>
      <c r="J50" s="32"/>
      <c r="K50" s="32"/>
      <c r="L50" s="32" t="s">
        <v>104</v>
      </c>
      <c r="M50" s="32"/>
      <c r="N50" s="32" t="s">
        <v>105</v>
      </c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EC65-9C0F-44F6-A7CA-07A52961E61E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106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106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7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107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9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9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108</v>
      </c>
      <c r="G9" s="37" t="s">
        <v>109</v>
      </c>
      <c r="H9" s="37" t="s">
        <v>110</v>
      </c>
      <c r="I9" s="37" t="s">
        <v>111</v>
      </c>
      <c r="J9" s="37" t="s">
        <v>112</v>
      </c>
      <c r="K9" s="38" t="s">
        <v>113</v>
      </c>
      <c r="L9" s="38" t="s">
        <v>114</v>
      </c>
      <c r="M9" s="38" t="s">
        <v>115</v>
      </c>
      <c r="N9" s="38" t="s">
        <v>116</v>
      </c>
      <c r="O9" s="38"/>
      <c r="P9" s="38"/>
      <c r="Q9" s="38"/>
      <c r="R9" s="38"/>
      <c r="S9" s="38"/>
      <c r="T9" s="39"/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/>
      <c r="C14" s="10" t="s">
        <v>117</v>
      </c>
      <c r="D14" s="23" t="s">
        <v>108</v>
      </c>
      <c r="E14" s="64"/>
      <c r="F14" s="11" t="s">
        <v>36</v>
      </c>
      <c r="G14" s="11"/>
      <c r="H14" s="11"/>
      <c r="I14" s="11" t="s">
        <v>36</v>
      </c>
      <c r="J14" s="11" t="s">
        <v>36</v>
      </c>
      <c r="K14" s="11" t="s">
        <v>36</v>
      </c>
      <c r="L14" s="11" t="s">
        <v>36</v>
      </c>
      <c r="M14" s="11" t="s">
        <v>36</v>
      </c>
      <c r="N14" s="11" t="s">
        <v>36</v>
      </c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/>
      <c r="C15" s="10" t="s">
        <v>118</v>
      </c>
      <c r="D15" s="23" t="s">
        <v>119</v>
      </c>
      <c r="E15" s="64"/>
      <c r="F15" s="11" t="s">
        <v>36</v>
      </c>
      <c r="G15" s="11" t="s">
        <v>36</v>
      </c>
      <c r="H15" s="11" t="s">
        <v>36</v>
      </c>
      <c r="I15" s="11"/>
      <c r="J15" s="11"/>
      <c r="K15" s="11" t="s">
        <v>36</v>
      </c>
      <c r="L15" s="11" t="s">
        <v>36</v>
      </c>
      <c r="M15" s="11" t="s">
        <v>36</v>
      </c>
      <c r="N15" s="11" t="s">
        <v>36</v>
      </c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/>
      <c r="C16" s="10" t="s">
        <v>35</v>
      </c>
      <c r="D16" s="23">
        <v>0.01</v>
      </c>
      <c r="E16" s="64"/>
      <c r="F16" s="11" t="s">
        <v>36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 t="s">
        <v>37</v>
      </c>
      <c r="D17" s="23">
        <v>1</v>
      </c>
      <c r="E17" s="64"/>
      <c r="F17" s="11" t="s">
        <v>36</v>
      </c>
      <c r="G17" s="11" t="s">
        <v>36</v>
      </c>
      <c r="H17" s="11" t="s">
        <v>36</v>
      </c>
      <c r="I17" s="11" t="s">
        <v>36</v>
      </c>
      <c r="J17" s="11" t="s">
        <v>36</v>
      </c>
      <c r="K17" s="11" t="s">
        <v>36</v>
      </c>
      <c r="L17" s="11" t="s">
        <v>36</v>
      </c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 t="s">
        <v>117</v>
      </c>
      <c r="D18" s="23" t="s">
        <v>39</v>
      </c>
      <c r="E18" s="64"/>
      <c r="F18" s="11"/>
      <c r="G18" s="11" t="s">
        <v>36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 t="s">
        <v>35</v>
      </c>
      <c r="D19" s="85">
        <v>10</v>
      </c>
      <c r="E19" s="64"/>
      <c r="F19" s="11"/>
      <c r="G19" s="11" t="s">
        <v>36</v>
      </c>
      <c r="H19" s="11" t="s">
        <v>36</v>
      </c>
      <c r="I19" s="11" t="s">
        <v>36</v>
      </c>
      <c r="J19" s="11" t="s">
        <v>36</v>
      </c>
      <c r="K19" s="11"/>
      <c r="L19" s="11"/>
      <c r="M19" s="11" t="s">
        <v>36</v>
      </c>
      <c r="N19" s="11" t="s">
        <v>36</v>
      </c>
      <c r="O19" s="11"/>
      <c r="P19" s="11"/>
      <c r="Q19" s="11"/>
      <c r="R19" s="11"/>
      <c r="S19" s="11"/>
      <c r="T19" s="28"/>
    </row>
    <row r="20" spans="1:21" ht="13.5" customHeight="1">
      <c r="A20" s="36"/>
      <c r="B20" s="63"/>
      <c r="C20" s="10" t="s">
        <v>117</v>
      </c>
      <c r="D20" s="23" t="s">
        <v>120</v>
      </c>
      <c r="E20" s="64"/>
      <c r="F20" s="11"/>
      <c r="G20" s="11"/>
      <c r="H20" s="11" t="s">
        <v>36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 t="s">
        <v>118</v>
      </c>
      <c r="D21" s="129" t="s">
        <v>39</v>
      </c>
      <c r="E21" s="130"/>
      <c r="F21" s="11"/>
      <c r="G21" s="11"/>
      <c r="H21" s="11"/>
      <c r="I21" s="11" t="s">
        <v>36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 t="s">
        <v>118</v>
      </c>
      <c r="D22" s="129" t="s">
        <v>120</v>
      </c>
      <c r="E22" s="130"/>
      <c r="F22" s="11"/>
      <c r="G22" s="11"/>
      <c r="H22" s="11"/>
      <c r="I22" s="11"/>
      <c r="J22" s="11" t="s">
        <v>36</v>
      </c>
      <c r="K22" s="11"/>
      <c r="L22" s="11"/>
      <c r="M22" s="11"/>
      <c r="N22" s="11"/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 t="s">
        <v>35</v>
      </c>
      <c r="D23" s="55">
        <v>0</v>
      </c>
      <c r="E23" s="56"/>
      <c r="F23" s="11"/>
      <c r="G23" s="11"/>
      <c r="H23" s="11"/>
      <c r="I23" s="11"/>
      <c r="J23" s="11"/>
      <c r="K23" s="11" t="s">
        <v>36</v>
      </c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 t="s">
        <v>35</v>
      </c>
      <c r="D24" s="55">
        <v>-1</v>
      </c>
      <c r="E24" s="56"/>
      <c r="F24" s="11"/>
      <c r="G24" s="11"/>
      <c r="H24" s="11"/>
      <c r="I24" s="11"/>
      <c r="J24" s="11"/>
      <c r="K24" s="11"/>
      <c r="L24" s="11" t="s">
        <v>36</v>
      </c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/>
      <c r="C25" s="10" t="s">
        <v>37</v>
      </c>
      <c r="D25" s="129">
        <v>0</v>
      </c>
      <c r="E25" s="130"/>
      <c r="F25" s="11"/>
      <c r="G25" s="11"/>
      <c r="H25" s="11"/>
      <c r="I25" s="11"/>
      <c r="J25" s="11"/>
      <c r="K25" s="11"/>
      <c r="L25" s="11"/>
      <c r="M25" s="11" t="s">
        <v>36</v>
      </c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 t="s">
        <v>37</v>
      </c>
      <c r="D26" s="23">
        <v>-1</v>
      </c>
      <c r="E26" s="64"/>
      <c r="F26" s="11"/>
      <c r="G26" s="11"/>
      <c r="H26" s="11"/>
      <c r="I26" s="11"/>
      <c r="J26" s="11"/>
      <c r="K26" s="11"/>
      <c r="L26" s="11"/>
      <c r="M26" s="11"/>
      <c r="N26" s="11" t="s">
        <v>36</v>
      </c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8"/>
    </row>
    <row r="28" spans="1:21" ht="13.5" customHeight="1">
      <c r="A28" s="36"/>
      <c r="B28" s="42"/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121</v>
      </c>
      <c r="D38" s="74" t="s">
        <v>108</v>
      </c>
      <c r="E38" s="45"/>
      <c r="F38" s="46" t="s">
        <v>36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 t="s">
        <v>122</v>
      </c>
      <c r="D39" s="76" t="s">
        <v>119</v>
      </c>
      <c r="E39" s="15"/>
      <c r="F39" s="11" t="s">
        <v>36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28"/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 t="s">
        <v>42</v>
      </c>
      <c r="J40" s="11" t="s">
        <v>42</v>
      </c>
      <c r="K40" s="11" t="s">
        <v>42</v>
      </c>
      <c r="L40" s="11" t="s">
        <v>42</v>
      </c>
      <c r="M40" s="11" t="s">
        <v>42</v>
      </c>
      <c r="N40" s="11" t="s">
        <v>42</v>
      </c>
      <c r="O40" s="11"/>
      <c r="P40" s="11"/>
      <c r="Q40" s="11"/>
      <c r="R40" s="11"/>
      <c r="S40" s="11"/>
      <c r="T40" s="28"/>
    </row>
    <row r="41" spans="1:20" ht="13.5" customHeight="1">
      <c r="A41" s="72"/>
      <c r="B41" s="48"/>
      <c r="C41" s="13" t="s">
        <v>35</v>
      </c>
      <c r="D41" s="76">
        <v>0.01</v>
      </c>
      <c r="E41" s="15"/>
      <c r="F41" s="11" t="s">
        <v>36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 t="s">
        <v>37</v>
      </c>
      <c r="D42" s="76">
        <v>1</v>
      </c>
      <c r="E42" s="17"/>
      <c r="F42" s="11" t="s">
        <v>36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 t="s">
        <v>36</v>
      </c>
      <c r="H43" s="11" t="s">
        <v>36</v>
      </c>
      <c r="I43" s="11" t="s">
        <v>36</v>
      </c>
      <c r="J43" s="11" t="s">
        <v>36</v>
      </c>
      <c r="K43" s="11" t="s">
        <v>36</v>
      </c>
      <c r="L43" s="11" t="s">
        <v>36</v>
      </c>
      <c r="M43" s="11" t="s">
        <v>36</v>
      </c>
      <c r="N43" s="11" t="s">
        <v>36</v>
      </c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 t="s">
        <v>36</v>
      </c>
      <c r="H44" s="11" t="s">
        <v>36</v>
      </c>
      <c r="I44" s="11" t="s">
        <v>36</v>
      </c>
      <c r="J44" s="11" t="s">
        <v>36</v>
      </c>
      <c r="K44" s="11" t="s">
        <v>36</v>
      </c>
      <c r="L44" s="11" t="s">
        <v>36</v>
      </c>
      <c r="M44" s="11" t="s">
        <v>36</v>
      </c>
      <c r="N44" s="11" t="s">
        <v>36</v>
      </c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46</v>
      </c>
      <c r="G47" s="82" t="s">
        <v>48</v>
      </c>
      <c r="H47" s="82" t="s">
        <v>48</v>
      </c>
      <c r="I47" s="82" t="s">
        <v>48</v>
      </c>
      <c r="J47" s="82" t="s">
        <v>48</v>
      </c>
      <c r="K47" s="82" t="s">
        <v>47</v>
      </c>
      <c r="L47" s="82" t="s">
        <v>48</v>
      </c>
      <c r="M47" s="82" t="s">
        <v>47</v>
      </c>
      <c r="N47" s="82" t="s">
        <v>48</v>
      </c>
      <c r="O47" s="82"/>
      <c r="P47" s="82"/>
      <c r="Q47" s="82"/>
      <c r="R47" s="82"/>
      <c r="S47" s="82"/>
      <c r="T47" s="83"/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 t="s">
        <v>42</v>
      </c>
      <c r="J48" s="19" t="s">
        <v>42</v>
      </c>
      <c r="K48" s="19" t="s">
        <v>42</v>
      </c>
      <c r="L48" s="19" t="s">
        <v>42</v>
      </c>
      <c r="M48" s="19" t="s">
        <v>42</v>
      </c>
      <c r="N48" s="19" t="s">
        <v>42</v>
      </c>
      <c r="O48" s="19"/>
      <c r="P48" s="19"/>
      <c r="Q48" s="19"/>
      <c r="R48" s="19"/>
      <c r="S48" s="19"/>
      <c r="T48" s="84"/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 t="s">
        <v>49</v>
      </c>
      <c r="J49" s="21" t="s">
        <v>49</v>
      </c>
      <c r="K49" s="21" t="s">
        <v>49</v>
      </c>
      <c r="L49" s="21" t="s">
        <v>49</v>
      </c>
      <c r="M49" s="21" t="s">
        <v>49</v>
      </c>
      <c r="N49" s="21" t="s">
        <v>49</v>
      </c>
      <c r="O49" s="21"/>
      <c r="P49" s="21"/>
      <c r="Q49" s="21"/>
      <c r="R49" s="21"/>
      <c r="S49" s="21"/>
      <c r="T49" s="84"/>
    </row>
    <row r="50" spans="1:20" ht="10.8" thickBot="1">
      <c r="A50" s="73"/>
      <c r="B50" s="127" t="s">
        <v>22</v>
      </c>
      <c r="C50" s="128"/>
      <c r="D50" s="128"/>
      <c r="E50" s="31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DF5C-0552-48F1-8377-C0F1A8028B7E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123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124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2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125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15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15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126</v>
      </c>
      <c r="G9" s="37" t="s">
        <v>127</v>
      </c>
      <c r="H9" s="37" t="s">
        <v>128</v>
      </c>
      <c r="I9" s="37" t="s">
        <v>129</v>
      </c>
      <c r="J9" s="37" t="s">
        <v>130</v>
      </c>
      <c r="K9" s="38" t="s">
        <v>131</v>
      </c>
      <c r="L9" s="38" t="s">
        <v>132</v>
      </c>
      <c r="M9" s="38" t="s">
        <v>133</v>
      </c>
      <c r="N9" s="38" t="s">
        <v>134</v>
      </c>
      <c r="O9" s="38" t="s">
        <v>135</v>
      </c>
      <c r="P9" s="38" t="s">
        <v>136</v>
      </c>
      <c r="Q9" s="38" t="s">
        <v>137</v>
      </c>
      <c r="R9" s="38" t="s">
        <v>138</v>
      </c>
      <c r="S9" s="38" t="s">
        <v>139</v>
      </c>
      <c r="T9" s="39" t="s">
        <v>140</v>
      </c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/>
      <c r="C14" s="10" t="s">
        <v>141</v>
      </c>
      <c r="D14" s="23" t="s">
        <v>142</v>
      </c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/>
      <c r="C15" s="10" t="s">
        <v>143</v>
      </c>
      <c r="D15" s="23" t="s">
        <v>144</v>
      </c>
      <c r="E15" s="64"/>
      <c r="F15" s="11" t="s">
        <v>36</v>
      </c>
      <c r="G15" s="11" t="s">
        <v>36</v>
      </c>
      <c r="H15" s="11"/>
      <c r="I15" s="11"/>
      <c r="J15" s="11"/>
      <c r="K15" s="11" t="s">
        <v>36</v>
      </c>
      <c r="L15" s="11" t="s">
        <v>36</v>
      </c>
      <c r="M15" s="11"/>
      <c r="N15" s="11"/>
      <c r="O15" s="11"/>
      <c r="P15" s="11"/>
      <c r="Q15" s="11"/>
      <c r="R15" s="11" t="s">
        <v>36</v>
      </c>
      <c r="S15" s="11" t="s">
        <v>36</v>
      </c>
      <c r="T15" s="28" t="s">
        <v>36</v>
      </c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 t="s">
        <v>145</v>
      </c>
      <c r="C16" s="10"/>
      <c r="D16" s="23"/>
      <c r="E16" s="64"/>
      <c r="F16" s="11" t="s">
        <v>36</v>
      </c>
      <c r="G16" s="11" t="s">
        <v>36</v>
      </c>
      <c r="H16" s="11"/>
      <c r="I16" s="11"/>
      <c r="J16" s="11"/>
      <c r="K16" s="11" t="s">
        <v>36</v>
      </c>
      <c r="L16" s="11" t="s">
        <v>36</v>
      </c>
      <c r="M16" s="11" t="s">
        <v>36</v>
      </c>
      <c r="N16" s="11" t="s">
        <v>36</v>
      </c>
      <c r="O16" s="11" t="s">
        <v>36</v>
      </c>
      <c r="P16" s="11" t="s">
        <v>36</v>
      </c>
      <c r="Q16" s="11" t="s">
        <v>36</v>
      </c>
      <c r="R16" s="11"/>
      <c r="S16" s="11"/>
      <c r="T16" s="28"/>
    </row>
    <row r="17" spans="1:21" ht="13.5" customHeight="1">
      <c r="A17" s="36"/>
      <c r="B17" s="42"/>
      <c r="C17" s="10" t="s">
        <v>141</v>
      </c>
      <c r="D17" s="23" t="s">
        <v>39</v>
      </c>
      <c r="E17" s="64"/>
      <c r="F17" s="11"/>
      <c r="G17" s="11" t="s">
        <v>36</v>
      </c>
      <c r="H17" s="11"/>
      <c r="I17" s="11"/>
      <c r="J17" s="11"/>
      <c r="K17" s="11" t="s">
        <v>36</v>
      </c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 t="s">
        <v>141</v>
      </c>
      <c r="D18" s="23" t="s">
        <v>146</v>
      </c>
      <c r="E18" s="64"/>
      <c r="F18" s="11"/>
      <c r="G18" s="11"/>
      <c r="H18" s="11" t="s">
        <v>36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 t="s">
        <v>143</v>
      </c>
      <c r="D19" s="85" t="s">
        <v>147</v>
      </c>
      <c r="E19" s="64"/>
      <c r="F19" s="11"/>
      <c r="G19" s="11"/>
      <c r="H19" s="11" t="s">
        <v>36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 t="s">
        <v>148</v>
      </c>
      <c r="C20" s="10"/>
      <c r="D20" s="23"/>
      <c r="E20" s="64"/>
      <c r="F20" s="11"/>
      <c r="G20" s="11"/>
      <c r="H20" s="11" t="s">
        <v>36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 t="s">
        <v>141</v>
      </c>
      <c r="D21" s="129" t="s">
        <v>149</v>
      </c>
      <c r="E21" s="130"/>
      <c r="F21" s="11"/>
      <c r="G21" s="11"/>
      <c r="H21" s="11"/>
      <c r="I21" s="11" t="s">
        <v>36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 t="s">
        <v>143</v>
      </c>
      <c r="D22" s="129" t="s">
        <v>143</v>
      </c>
      <c r="E22" s="130"/>
      <c r="F22" s="11"/>
      <c r="G22" s="11"/>
      <c r="H22" s="11"/>
      <c r="I22" s="11" t="s">
        <v>36</v>
      </c>
      <c r="J22" s="11" t="s">
        <v>36</v>
      </c>
      <c r="K22" s="11"/>
      <c r="L22" s="11"/>
      <c r="M22" s="11"/>
      <c r="N22" s="11"/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 t="s">
        <v>150</v>
      </c>
      <c r="D23" s="55" t="s">
        <v>151</v>
      </c>
      <c r="E23" s="56"/>
      <c r="F23" s="11"/>
      <c r="G23" s="11"/>
      <c r="H23" s="11"/>
      <c r="I23" s="11" t="s">
        <v>36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 t="s">
        <v>141</v>
      </c>
      <c r="D24" s="55" t="s">
        <v>152</v>
      </c>
      <c r="E24" s="56"/>
      <c r="F24" s="11"/>
      <c r="G24" s="11"/>
      <c r="H24" s="11"/>
      <c r="I24" s="11"/>
      <c r="J24" s="11" t="s">
        <v>36</v>
      </c>
      <c r="K24" s="11"/>
      <c r="L24" s="11"/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 t="s">
        <v>153</v>
      </c>
      <c r="C25" s="10"/>
      <c r="D25" s="129"/>
      <c r="E25" s="130"/>
      <c r="F25" s="11"/>
      <c r="G25" s="11"/>
      <c r="H25" s="11"/>
      <c r="I25" s="11"/>
      <c r="J25" s="11" t="s">
        <v>36</v>
      </c>
      <c r="K25" s="11"/>
      <c r="L25" s="11"/>
      <c r="M25" s="11"/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 t="s">
        <v>141</v>
      </c>
      <c r="D26" s="23" t="s">
        <v>154</v>
      </c>
      <c r="E26" s="64"/>
      <c r="F26" s="11"/>
      <c r="G26" s="11"/>
      <c r="H26" s="11"/>
      <c r="I26" s="11"/>
      <c r="J26" s="11"/>
      <c r="K26" s="11"/>
      <c r="L26" s="11" t="s">
        <v>36</v>
      </c>
      <c r="M26" s="11"/>
      <c r="N26" s="11"/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 t="s">
        <v>141</v>
      </c>
      <c r="D27" s="129" t="s">
        <v>155</v>
      </c>
      <c r="E27" s="130"/>
      <c r="F27" s="11"/>
      <c r="G27" s="11"/>
      <c r="H27" s="11"/>
      <c r="I27" s="11"/>
      <c r="J27" s="11"/>
      <c r="K27" s="11"/>
      <c r="L27" s="11"/>
      <c r="M27" s="11" t="s">
        <v>36</v>
      </c>
      <c r="N27" s="11" t="s">
        <v>36</v>
      </c>
      <c r="O27" s="11" t="s">
        <v>36</v>
      </c>
      <c r="P27" s="11" t="s">
        <v>36</v>
      </c>
      <c r="Q27" s="11" t="s">
        <v>36</v>
      </c>
      <c r="R27" s="11" t="s">
        <v>36</v>
      </c>
      <c r="S27" s="11" t="s">
        <v>36</v>
      </c>
      <c r="T27" s="28" t="s">
        <v>36</v>
      </c>
    </row>
    <row r="28" spans="1:21" ht="13.5" customHeight="1">
      <c r="A28" s="36"/>
      <c r="B28" s="42"/>
      <c r="C28" s="10" t="s">
        <v>143</v>
      </c>
      <c r="D28" s="129" t="s">
        <v>39</v>
      </c>
      <c r="E28" s="130"/>
      <c r="F28" s="11"/>
      <c r="G28" s="11"/>
      <c r="H28" s="11"/>
      <c r="I28" s="11"/>
      <c r="J28" s="11"/>
      <c r="K28" s="11"/>
      <c r="L28" s="11"/>
      <c r="M28" s="11" t="s">
        <v>36</v>
      </c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 t="s">
        <v>143</v>
      </c>
      <c r="D29" s="23" t="s">
        <v>120</v>
      </c>
      <c r="E29" s="64"/>
      <c r="F29" s="11"/>
      <c r="G29" s="11"/>
      <c r="H29" s="11"/>
      <c r="I29" s="11"/>
      <c r="J29" s="11"/>
      <c r="K29" s="11"/>
      <c r="L29" s="11"/>
      <c r="M29" s="11"/>
      <c r="N29" s="11" t="s">
        <v>36</v>
      </c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 t="s">
        <v>143</v>
      </c>
      <c r="D30" s="23">
        <v>123456</v>
      </c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 t="s">
        <v>36</v>
      </c>
      <c r="P30" s="11"/>
      <c r="Q30" s="11"/>
      <c r="R30" s="11"/>
      <c r="S30" s="11"/>
      <c r="T30" s="28"/>
    </row>
    <row r="31" spans="1:21" ht="13.5" customHeight="1">
      <c r="A31" s="36"/>
      <c r="B31" s="42"/>
      <c r="C31" s="10" t="s">
        <v>143</v>
      </c>
      <c r="D31" s="23">
        <v>1234567</v>
      </c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 t="s">
        <v>36</v>
      </c>
      <c r="Q31" s="11"/>
      <c r="R31" s="11"/>
      <c r="S31" s="11"/>
      <c r="T31" s="28"/>
    </row>
    <row r="32" spans="1:21" ht="13.5" customHeight="1">
      <c r="A32" s="36"/>
      <c r="B32" s="63"/>
      <c r="C32" s="10" t="s">
        <v>143</v>
      </c>
      <c r="D32" s="65">
        <v>12345678</v>
      </c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 t="s">
        <v>36</v>
      </c>
      <c r="R32" s="11"/>
      <c r="S32" s="11"/>
      <c r="T32" s="28"/>
    </row>
    <row r="33" spans="1:20" ht="13.5" customHeight="1">
      <c r="A33" s="36"/>
      <c r="B33" s="42"/>
      <c r="C33" s="10" t="s">
        <v>150</v>
      </c>
      <c r="D33" s="23" t="s">
        <v>39</v>
      </c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 t="s">
        <v>36</v>
      </c>
      <c r="S33" s="11"/>
      <c r="T33" s="28"/>
    </row>
    <row r="34" spans="1:20" ht="13.5" customHeight="1">
      <c r="A34" s="36"/>
      <c r="B34" s="42"/>
      <c r="C34" s="10" t="s">
        <v>150</v>
      </c>
      <c r="D34" s="23" t="s">
        <v>120</v>
      </c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 t="s">
        <v>36</v>
      </c>
      <c r="T34" s="28"/>
    </row>
    <row r="35" spans="1:20" ht="13.5" customHeight="1">
      <c r="A35" s="36"/>
      <c r="B35" s="42" t="s">
        <v>156</v>
      </c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 t="s">
        <v>36</v>
      </c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 t="s">
        <v>157</v>
      </c>
      <c r="E38" s="45"/>
      <c r="F38" s="46" t="s">
        <v>36</v>
      </c>
      <c r="G38" s="46"/>
      <c r="H38" s="46"/>
      <c r="I38" s="46"/>
      <c r="J38" s="46" t="s">
        <v>36</v>
      </c>
      <c r="K38" s="46"/>
      <c r="L38" s="46"/>
      <c r="M38" s="46"/>
      <c r="N38" s="46"/>
      <c r="O38" s="46"/>
      <c r="P38" s="46" t="s">
        <v>36</v>
      </c>
      <c r="Q38" s="46" t="s">
        <v>36</v>
      </c>
      <c r="R38" s="46"/>
      <c r="S38" s="46"/>
      <c r="T38" s="47"/>
    </row>
    <row r="39" spans="1:20" ht="13.5" customHeight="1">
      <c r="A39" s="72"/>
      <c r="B39" s="48"/>
      <c r="C39" s="75" t="s">
        <v>40</v>
      </c>
      <c r="D39" s="76" t="s">
        <v>158</v>
      </c>
      <c r="E39" s="15"/>
      <c r="F39" s="11"/>
      <c r="G39" s="11" t="s">
        <v>36</v>
      </c>
      <c r="H39" s="11" t="s">
        <v>36</v>
      </c>
      <c r="I39" s="11" t="s">
        <v>36</v>
      </c>
      <c r="J39" s="11"/>
      <c r="K39" s="11" t="s">
        <v>36</v>
      </c>
      <c r="L39" s="11" t="s">
        <v>36</v>
      </c>
      <c r="M39" s="11" t="s">
        <v>36</v>
      </c>
      <c r="N39" s="11" t="s">
        <v>36</v>
      </c>
      <c r="O39" s="11" t="s">
        <v>36</v>
      </c>
      <c r="P39" s="11"/>
      <c r="Q39" s="11"/>
      <c r="R39" s="11" t="s">
        <v>36</v>
      </c>
      <c r="S39" s="11" t="s">
        <v>36</v>
      </c>
      <c r="T39" s="28" t="s">
        <v>36</v>
      </c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 t="s">
        <v>42</v>
      </c>
      <c r="J40" s="11" t="s">
        <v>42</v>
      </c>
      <c r="K40" s="11" t="s">
        <v>42</v>
      </c>
      <c r="L40" s="11" t="s">
        <v>42</v>
      </c>
      <c r="M40" s="11" t="s">
        <v>42</v>
      </c>
      <c r="N40" s="11" t="s">
        <v>42</v>
      </c>
      <c r="O40" s="11" t="s">
        <v>42</v>
      </c>
      <c r="P40" s="11" t="s">
        <v>42</v>
      </c>
      <c r="Q40" s="11" t="s">
        <v>42</v>
      </c>
      <c r="R40" s="11" t="s">
        <v>42</v>
      </c>
      <c r="S40" s="11" t="s">
        <v>42</v>
      </c>
      <c r="T40" s="28" t="s">
        <v>42</v>
      </c>
    </row>
    <row r="41" spans="1:20" ht="13.5" customHeight="1">
      <c r="A41" s="72"/>
      <c r="B41" s="48"/>
      <c r="C41" s="13"/>
      <c r="D41" s="76"/>
      <c r="E41" s="15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/>
      <c r="D42" s="76"/>
      <c r="E42" s="1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46</v>
      </c>
      <c r="G47" s="82" t="s">
        <v>48</v>
      </c>
      <c r="H47" s="82" t="s">
        <v>48</v>
      </c>
      <c r="I47" s="82" t="s">
        <v>48</v>
      </c>
      <c r="J47" s="82" t="s">
        <v>46</v>
      </c>
      <c r="K47" s="82" t="s">
        <v>48</v>
      </c>
      <c r="L47" s="82" t="s">
        <v>48</v>
      </c>
      <c r="M47" s="82" t="s">
        <v>48</v>
      </c>
      <c r="N47" s="82" t="s">
        <v>48</v>
      </c>
      <c r="O47" s="82" t="s">
        <v>47</v>
      </c>
      <c r="P47" s="82" t="s">
        <v>47</v>
      </c>
      <c r="Q47" s="82" t="s">
        <v>47</v>
      </c>
      <c r="R47" s="82" t="s">
        <v>48</v>
      </c>
      <c r="S47" s="82" t="s">
        <v>48</v>
      </c>
      <c r="T47" s="83" t="s">
        <v>48</v>
      </c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 t="s">
        <v>42</v>
      </c>
      <c r="J48" s="19" t="s">
        <v>42</v>
      </c>
      <c r="K48" s="19" t="s">
        <v>42</v>
      </c>
      <c r="L48" s="19" t="s">
        <v>42</v>
      </c>
      <c r="M48" s="19" t="s">
        <v>42</v>
      </c>
      <c r="N48" s="19" t="s">
        <v>42</v>
      </c>
      <c r="O48" s="19" t="s">
        <v>42</v>
      </c>
      <c r="P48" s="19" t="s">
        <v>42</v>
      </c>
      <c r="Q48" s="19" t="s">
        <v>42</v>
      </c>
      <c r="R48" s="19" t="s">
        <v>42</v>
      </c>
      <c r="S48" s="19" t="s">
        <v>42</v>
      </c>
      <c r="T48" s="84" t="s">
        <v>42</v>
      </c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 t="s">
        <v>49</v>
      </c>
      <c r="J49" s="21" t="s">
        <v>49</v>
      </c>
      <c r="K49" s="21" t="s">
        <v>49</v>
      </c>
      <c r="L49" s="21" t="s">
        <v>49</v>
      </c>
      <c r="M49" s="21" t="s">
        <v>49</v>
      </c>
      <c r="N49" s="21" t="s">
        <v>49</v>
      </c>
      <c r="O49" s="21" t="s">
        <v>49</v>
      </c>
      <c r="P49" s="21" t="s">
        <v>49</v>
      </c>
      <c r="Q49" s="21" t="s">
        <v>49</v>
      </c>
      <c r="R49" s="21" t="s">
        <v>49</v>
      </c>
      <c r="S49" s="21" t="s">
        <v>49</v>
      </c>
      <c r="T49" s="84" t="s">
        <v>49</v>
      </c>
    </row>
    <row r="50" spans="1:20" ht="10.8" thickBot="1">
      <c r="A50" s="73"/>
      <c r="B50" s="127" t="s">
        <v>22</v>
      </c>
      <c r="C50" s="128"/>
      <c r="D50" s="128"/>
      <c r="E50" s="31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D5AE-CEBF-4032-ABE4-50190B734F49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159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160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1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161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15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15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162</v>
      </c>
      <c r="G9" s="37" t="s">
        <v>163</v>
      </c>
      <c r="H9" s="37" t="s">
        <v>164</v>
      </c>
      <c r="I9" s="37" t="s">
        <v>165</v>
      </c>
      <c r="J9" s="37" t="s">
        <v>166</v>
      </c>
      <c r="K9" s="38" t="s">
        <v>167</v>
      </c>
      <c r="L9" s="38" t="s">
        <v>168</v>
      </c>
      <c r="M9" s="38" t="s">
        <v>169</v>
      </c>
      <c r="N9" s="38" t="s">
        <v>170</v>
      </c>
      <c r="O9" s="38" t="s">
        <v>171</v>
      </c>
      <c r="P9" s="38" t="s">
        <v>172</v>
      </c>
      <c r="Q9" s="38" t="s">
        <v>173</v>
      </c>
      <c r="R9" s="38" t="s">
        <v>174</v>
      </c>
      <c r="S9" s="38" t="s">
        <v>175</v>
      </c>
      <c r="T9" s="39" t="s">
        <v>176</v>
      </c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 t="s">
        <v>145</v>
      </c>
      <c r="C14" s="10"/>
      <c r="D14" s="23"/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 t="s">
        <v>153</v>
      </c>
      <c r="C15" s="10"/>
      <c r="D15" s="23"/>
      <c r="E15" s="64"/>
      <c r="F15" s="11"/>
      <c r="G15" s="11" t="s">
        <v>36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 t="s">
        <v>177</v>
      </c>
      <c r="C16" s="10"/>
      <c r="D16" s="23"/>
      <c r="E16" s="64"/>
      <c r="F16" s="11"/>
      <c r="G16" s="11"/>
      <c r="H16" s="11" t="s">
        <v>36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 t="s">
        <v>150</v>
      </c>
      <c r="D17" s="23" t="s">
        <v>39</v>
      </c>
      <c r="E17" s="64"/>
      <c r="F17" s="11"/>
      <c r="G17" s="11"/>
      <c r="H17" s="11"/>
      <c r="I17" s="11" t="s">
        <v>36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 t="s">
        <v>150</v>
      </c>
      <c r="D18" s="23" t="s">
        <v>120</v>
      </c>
      <c r="E18" s="64"/>
      <c r="F18" s="11"/>
      <c r="G18" s="11"/>
      <c r="H18" s="11"/>
      <c r="I18" s="11"/>
      <c r="J18" s="11" t="s">
        <v>36</v>
      </c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 t="s">
        <v>150</v>
      </c>
      <c r="D19" s="85" t="s">
        <v>151</v>
      </c>
      <c r="E19" s="64"/>
      <c r="F19" s="11"/>
      <c r="G19" s="11"/>
      <c r="H19" s="11"/>
      <c r="I19" s="11"/>
      <c r="J19" s="11"/>
      <c r="K19" s="11" t="s">
        <v>36</v>
      </c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 t="s">
        <v>156</v>
      </c>
      <c r="C20" s="10"/>
      <c r="D20" s="23"/>
      <c r="E20" s="64"/>
      <c r="F20" s="11"/>
      <c r="G20" s="11"/>
      <c r="H20" s="11"/>
      <c r="I20" s="11"/>
      <c r="J20" s="11"/>
      <c r="K20" s="11"/>
      <c r="L20" s="11" t="s">
        <v>36</v>
      </c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 t="s">
        <v>150</v>
      </c>
      <c r="D21" s="129" t="s">
        <v>178</v>
      </c>
      <c r="E21" s="130"/>
      <c r="F21" s="11"/>
      <c r="G21" s="11"/>
      <c r="H21" s="11"/>
      <c r="I21" s="11"/>
      <c r="J21" s="11"/>
      <c r="K21" s="11"/>
      <c r="L21" s="11"/>
      <c r="M21" s="11" t="s">
        <v>36</v>
      </c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 t="s">
        <v>150</v>
      </c>
      <c r="D22" s="129" t="s">
        <v>179</v>
      </c>
      <c r="E22" s="130"/>
      <c r="F22" s="11"/>
      <c r="G22" s="11"/>
      <c r="H22" s="11"/>
      <c r="I22" s="11"/>
      <c r="J22" s="11"/>
      <c r="K22" s="11"/>
      <c r="L22" s="11"/>
      <c r="M22" s="11"/>
      <c r="N22" s="11" t="s">
        <v>36</v>
      </c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 t="s">
        <v>150</v>
      </c>
      <c r="D23" s="55" t="s">
        <v>180</v>
      </c>
      <c r="E23" s="56"/>
      <c r="F23" s="11"/>
      <c r="G23" s="11"/>
      <c r="H23" s="11"/>
      <c r="I23" s="11"/>
      <c r="J23" s="11"/>
      <c r="K23" s="11"/>
      <c r="L23" s="11"/>
      <c r="M23" s="11"/>
      <c r="N23" s="11"/>
      <c r="O23" s="11" t="s">
        <v>36</v>
      </c>
      <c r="P23" s="11"/>
      <c r="Q23" s="11"/>
      <c r="R23" s="11"/>
      <c r="S23" s="11"/>
      <c r="T23" s="28"/>
    </row>
    <row r="24" spans="1:21" ht="13.5" customHeight="1">
      <c r="A24" s="36"/>
      <c r="B24" s="42" t="s">
        <v>181</v>
      </c>
      <c r="C24" s="10"/>
      <c r="D24" s="55"/>
      <c r="E24" s="5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 t="s">
        <v>36</v>
      </c>
      <c r="Q24" s="11"/>
      <c r="R24" s="11"/>
      <c r="S24" s="11"/>
      <c r="T24" s="28"/>
    </row>
    <row r="25" spans="1:21" ht="13.5" customHeight="1">
      <c r="A25" s="36"/>
      <c r="B25" s="42" t="s">
        <v>182</v>
      </c>
      <c r="C25" s="10"/>
      <c r="D25" s="129"/>
      <c r="E25" s="13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 t="s">
        <v>36</v>
      </c>
      <c r="R25" s="11"/>
      <c r="S25" s="11"/>
      <c r="T25" s="28"/>
    </row>
    <row r="26" spans="1:21" ht="13.5" customHeight="1">
      <c r="A26" s="36"/>
      <c r="B26" s="63" t="s">
        <v>183</v>
      </c>
      <c r="C26" s="10"/>
      <c r="D26" s="23"/>
      <c r="E26" s="6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 t="s">
        <v>36</v>
      </c>
      <c r="S26" s="11"/>
      <c r="T26" s="28"/>
    </row>
    <row r="27" spans="1:21" ht="13.5" customHeight="1">
      <c r="A27" s="36"/>
      <c r="B27" s="42" t="s">
        <v>184</v>
      </c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 t="s">
        <v>36</v>
      </c>
      <c r="T27" s="28"/>
    </row>
    <row r="28" spans="1:21" ht="13.5" customHeight="1">
      <c r="A28" s="36"/>
      <c r="B28" s="42" t="s">
        <v>185</v>
      </c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 t="s">
        <v>36</v>
      </c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 t="s">
        <v>157</v>
      </c>
      <c r="E38" s="45"/>
      <c r="F38" s="46" t="s">
        <v>36</v>
      </c>
      <c r="G38" s="46" t="s">
        <v>36</v>
      </c>
      <c r="H38" s="46" t="s">
        <v>36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 t="s">
        <v>40</v>
      </c>
      <c r="D39" s="76" t="s">
        <v>158</v>
      </c>
      <c r="E39" s="15"/>
      <c r="F39" s="11"/>
      <c r="G39" s="11"/>
      <c r="H39" s="11"/>
      <c r="I39" s="11" t="s">
        <v>36</v>
      </c>
      <c r="J39" s="11" t="s">
        <v>36</v>
      </c>
      <c r="K39" s="11" t="s">
        <v>36</v>
      </c>
      <c r="L39" s="11" t="s">
        <v>36</v>
      </c>
      <c r="M39" s="11" t="s">
        <v>36</v>
      </c>
      <c r="N39" s="11" t="s">
        <v>36</v>
      </c>
      <c r="O39" s="11" t="s">
        <v>36</v>
      </c>
      <c r="P39" s="11" t="s">
        <v>36</v>
      </c>
      <c r="Q39" s="11" t="s">
        <v>36</v>
      </c>
      <c r="R39" s="11" t="s">
        <v>36</v>
      </c>
      <c r="S39" s="11" t="s">
        <v>36</v>
      </c>
      <c r="T39" s="28" t="s">
        <v>36</v>
      </c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 t="s">
        <v>42</v>
      </c>
      <c r="J40" s="11" t="s">
        <v>42</v>
      </c>
      <c r="K40" s="11" t="s">
        <v>42</v>
      </c>
      <c r="L40" s="11" t="s">
        <v>42</v>
      </c>
      <c r="M40" s="11" t="s">
        <v>42</v>
      </c>
      <c r="N40" s="11" t="s">
        <v>42</v>
      </c>
      <c r="O40" s="11" t="s">
        <v>42</v>
      </c>
      <c r="P40" s="11" t="s">
        <v>42</v>
      </c>
      <c r="Q40" s="11" t="s">
        <v>42</v>
      </c>
      <c r="R40" s="11" t="s">
        <v>42</v>
      </c>
      <c r="S40" s="11" t="s">
        <v>42</v>
      </c>
      <c r="T40" s="28" t="s">
        <v>42</v>
      </c>
    </row>
    <row r="41" spans="1:20" ht="13.5" customHeight="1">
      <c r="A41" s="72"/>
      <c r="B41" s="48"/>
      <c r="C41" s="13"/>
      <c r="D41" s="76"/>
      <c r="E41" s="15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/>
      <c r="D42" s="76"/>
      <c r="E42" s="1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46</v>
      </c>
      <c r="G47" s="82" t="s">
        <v>46</v>
      </c>
      <c r="H47" s="82" t="s">
        <v>46</v>
      </c>
      <c r="I47" s="82" t="s">
        <v>48</v>
      </c>
      <c r="J47" s="82" t="s">
        <v>48</v>
      </c>
      <c r="K47" s="82" t="s">
        <v>48</v>
      </c>
      <c r="L47" s="82" t="s">
        <v>48</v>
      </c>
      <c r="M47" s="82" t="s">
        <v>48</v>
      </c>
      <c r="N47" s="82" t="s">
        <v>48</v>
      </c>
      <c r="O47" s="82" t="s">
        <v>48</v>
      </c>
      <c r="P47" s="82" t="s">
        <v>48</v>
      </c>
      <c r="Q47" s="82" t="s">
        <v>48</v>
      </c>
      <c r="R47" s="82" t="s">
        <v>48</v>
      </c>
      <c r="S47" s="82" t="s">
        <v>48</v>
      </c>
      <c r="T47" s="83" t="s">
        <v>48</v>
      </c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 t="s">
        <v>42</v>
      </c>
      <c r="J48" s="19" t="s">
        <v>42</v>
      </c>
      <c r="K48" s="19" t="s">
        <v>42</v>
      </c>
      <c r="L48" s="19" t="s">
        <v>42</v>
      </c>
      <c r="M48" s="19" t="s">
        <v>42</v>
      </c>
      <c r="N48" s="19" t="s">
        <v>42</v>
      </c>
      <c r="O48" s="19" t="s">
        <v>42</v>
      </c>
      <c r="P48" s="19" t="s">
        <v>42</v>
      </c>
      <c r="Q48" s="19" t="s">
        <v>42</v>
      </c>
      <c r="R48" s="19" t="s">
        <v>42</v>
      </c>
      <c r="S48" s="19" t="s">
        <v>42</v>
      </c>
      <c r="T48" s="84" t="s">
        <v>42</v>
      </c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 t="s">
        <v>49</v>
      </c>
      <c r="J49" s="21" t="s">
        <v>49</v>
      </c>
      <c r="K49" s="21" t="s">
        <v>49</v>
      </c>
      <c r="L49" s="21" t="s">
        <v>49</v>
      </c>
      <c r="M49" s="21" t="s">
        <v>49</v>
      </c>
      <c r="N49" s="21" t="s">
        <v>49</v>
      </c>
      <c r="O49" s="21" t="s">
        <v>49</v>
      </c>
      <c r="P49" s="21" t="s">
        <v>49</v>
      </c>
      <c r="Q49" s="21" t="s">
        <v>49</v>
      </c>
      <c r="R49" s="21" t="s">
        <v>49</v>
      </c>
      <c r="S49" s="21" t="s">
        <v>49</v>
      </c>
      <c r="T49" s="84" t="s">
        <v>49</v>
      </c>
    </row>
    <row r="50" spans="1:20" ht="10.8" thickBot="1">
      <c r="A50" s="73"/>
      <c r="B50" s="127" t="s">
        <v>22</v>
      </c>
      <c r="C50" s="128"/>
      <c r="D50" s="128"/>
      <c r="E50" s="31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03F7-F31B-400D-A3AD-606C6C71BEA1}">
  <dimension ref="A1:AC55"/>
  <sheetViews>
    <sheetView tabSelected="1" topLeftCell="A4" zoomScaleNormal="100" workbookViewId="0">
      <selection activeCell="F15" sqref="F15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52"/>
    <col min="23" max="23" width="24.21875" style="3" bestFit="1" customWidth="1"/>
    <col min="24" max="24" width="14.6640625" style="3" customWidth="1"/>
    <col min="25" max="25" width="15.109375" style="3" bestFit="1" customWidth="1"/>
    <col min="26" max="26" width="15.6640625" style="3" customWidth="1"/>
    <col min="27" max="28" width="9" style="3"/>
    <col min="29" max="29" width="12" style="3" customWidth="1"/>
    <col min="30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9" ht="13.5" customHeight="1" thickBot="1">
      <c r="A1" s="1"/>
      <c r="B1" s="2"/>
    </row>
    <row r="2" spans="1:29" ht="13.5" customHeight="1">
      <c r="A2" s="86" t="s">
        <v>0</v>
      </c>
      <c r="B2" s="87"/>
      <c r="C2" s="88" t="s">
        <v>186</v>
      </c>
      <c r="D2" s="89"/>
      <c r="E2" s="90"/>
      <c r="F2" s="91" t="s">
        <v>1</v>
      </c>
      <c r="G2" s="92"/>
      <c r="H2" s="92"/>
      <c r="I2" s="92"/>
      <c r="J2" s="92"/>
      <c r="K2" s="92"/>
      <c r="L2" s="93" t="s">
        <v>160</v>
      </c>
      <c r="M2" s="94"/>
      <c r="N2" s="94"/>
      <c r="O2" s="94"/>
      <c r="P2" s="94"/>
      <c r="Q2" s="94"/>
      <c r="R2" s="94"/>
      <c r="S2" s="94"/>
      <c r="T2" s="95"/>
    </row>
    <row r="3" spans="1:29" ht="13.5" customHeight="1">
      <c r="A3" s="96" t="s">
        <v>2</v>
      </c>
      <c r="B3" s="97"/>
      <c r="C3" s="98"/>
      <c r="D3" s="99"/>
      <c r="E3" s="100"/>
      <c r="F3" s="101" t="s">
        <v>3</v>
      </c>
      <c r="G3" s="102"/>
      <c r="H3" s="102"/>
      <c r="I3" s="102"/>
      <c r="J3" s="102"/>
      <c r="K3" s="103"/>
      <c r="L3" s="104" t="s">
        <v>28</v>
      </c>
      <c r="M3" s="104"/>
      <c r="N3" s="104"/>
      <c r="O3" s="5"/>
      <c r="P3" s="5"/>
      <c r="Q3" s="5"/>
      <c r="R3" s="5"/>
      <c r="S3" s="5"/>
      <c r="T3" s="6"/>
    </row>
    <row r="4" spans="1:29" ht="13.5" customHeight="1">
      <c r="A4" s="96" t="s">
        <v>4</v>
      </c>
      <c r="B4" s="97"/>
      <c r="C4" s="112">
        <v>1</v>
      </c>
      <c r="D4" s="113"/>
      <c r="E4" s="7"/>
      <c r="F4" s="101" t="s">
        <v>5</v>
      </c>
      <c r="G4" s="102"/>
      <c r="H4" s="102"/>
      <c r="I4" s="102"/>
      <c r="J4" s="102"/>
      <c r="K4" s="103"/>
      <c r="L4" s="114">
        <v>-2</v>
      </c>
      <c r="M4" s="115"/>
      <c r="N4" s="115"/>
      <c r="O4" s="115"/>
      <c r="P4" s="115"/>
      <c r="Q4" s="115"/>
      <c r="R4" s="115"/>
      <c r="S4" s="115"/>
      <c r="T4" s="116"/>
    </row>
    <row r="5" spans="1:29" ht="13.5" customHeight="1">
      <c r="A5" s="96" t="s">
        <v>6</v>
      </c>
      <c r="B5" s="97"/>
      <c r="C5" s="117" t="s">
        <v>161</v>
      </c>
      <c r="D5" s="117"/>
      <c r="E5" s="117"/>
      <c r="F5" s="118"/>
      <c r="G5" s="118"/>
      <c r="H5" s="118"/>
      <c r="I5" s="118"/>
      <c r="J5" s="118"/>
      <c r="K5" s="118"/>
      <c r="L5" s="117"/>
      <c r="M5" s="117"/>
      <c r="N5" s="117"/>
      <c r="O5" s="117"/>
      <c r="P5" s="117"/>
      <c r="Q5" s="117"/>
      <c r="R5" s="117"/>
      <c r="S5" s="117"/>
      <c r="T5" s="117"/>
    </row>
    <row r="6" spans="1:29" ht="13.5" customHeight="1">
      <c r="A6" s="119" t="s">
        <v>7</v>
      </c>
      <c r="B6" s="120"/>
      <c r="C6" s="121" t="s">
        <v>8</v>
      </c>
      <c r="D6" s="122"/>
      <c r="E6" s="123"/>
      <c r="F6" s="121" t="s">
        <v>9</v>
      </c>
      <c r="G6" s="122"/>
      <c r="H6" s="122"/>
      <c r="I6" s="122"/>
      <c r="J6" s="122"/>
      <c r="K6" s="124"/>
      <c r="L6" s="122" t="s">
        <v>10</v>
      </c>
      <c r="M6" s="122"/>
      <c r="N6" s="122"/>
      <c r="O6" s="125" t="s">
        <v>11</v>
      </c>
      <c r="P6" s="122"/>
      <c r="Q6" s="122"/>
      <c r="R6" s="122"/>
      <c r="S6" s="122"/>
      <c r="T6" s="126"/>
    </row>
    <row r="7" spans="1:29" ht="13.5" customHeight="1" thickBot="1">
      <c r="A7" s="105">
        <f>COUNTIF(F40:HQ40,"P")</f>
        <v>3</v>
      </c>
      <c r="B7" s="106"/>
      <c r="C7" s="107">
        <f>COUNTIF(F40:HQ40,"F")</f>
        <v>0</v>
      </c>
      <c r="D7" s="108"/>
      <c r="E7" s="106"/>
      <c r="F7" s="107">
        <f>SUM(O7,- A7,- C7)</f>
        <v>0</v>
      </c>
      <c r="G7" s="108"/>
      <c r="H7" s="108"/>
      <c r="I7" s="108"/>
      <c r="J7" s="108"/>
      <c r="K7" s="109"/>
      <c r="L7" s="24">
        <f>COUNTIF(U39:HQ39,"N")</f>
        <v>0</v>
      </c>
      <c r="M7" s="24">
        <f>COUNTIF(U39:HQ39,"A")</f>
        <v>0</v>
      </c>
      <c r="N7" s="24">
        <f>COUNTIF(U39:HQ39,"B")</f>
        <v>0</v>
      </c>
      <c r="O7" s="110">
        <f>COUNTA(E9:HT9)</f>
        <v>3</v>
      </c>
      <c r="P7" s="108"/>
      <c r="Q7" s="108"/>
      <c r="R7" s="108"/>
      <c r="S7" s="108"/>
      <c r="T7" s="111"/>
      <c r="U7" s="8"/>
    </row>
    <row r="8" spans="1:29" ht="10.8" thickBot="1"/>
    <row r="9" spans="1:29" ht="46.5" customHeight="1" thickBot="1">
      <c r="A9" s="131"/>
      <c r="B9" s="132"/>
      <c r="C9" s="132"/>
      <c r="D9" s="132"/>
      <c r="E9" s="34"/>
      <c r="F9" s="37" t="s">
        <v>187</v>
      </c>
      <c r="G9" s="37" t="s">
        <v>188</v>
      </c>
      <c r="H9" s="37" t="s">
        <v>189</v>
      </c>
      <c r="I9" s="37"/>
      <c r="J9" s="37"/>
      <c r="K9" s="38"/>
      <c r="L9" s="38"/>
      <c r="M9" s="38"/>
      <c r="N9" s="38"/>
      <c r="O9" s="38"/>
      <c r="P9" s="38"/>
      <c r="Q9" s="38"/>
      <c r="R9" s="38"/>
      <c r="S9" s="38"/>
      <c r="T9" s="39"/>
      <c r="U9" s="27"/>
      <c r="V9" s="53"/>
    </row>
    <row r="10" spans="1:29" ht="13.5" customHeight="1">
      <c r="A10" s="35" t="s">
        <v>12</v>
      </c>
      <c r="B10" s="59" t="s">
        <v>13</v>
      </c>
      <c r="C10" s="40"/>
      <c r="D10" s="41"/>
      <c r="E10" s="60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W10" s="57"/>
      <c r="X10" s="57"/>
      <c r="Y10" s="57"/>
      <c r="Z10" s="57"/>
      <c r="AA10" s="57"/>
      <c r="AB10" s="57"/>
      <c r="AC10" s="57"/>
    </row>
    <row r="11" spans="1:29" ht="13.5" customHeight="1">
      <c r="A11" s="36"/>
      <c r="B11" s="42"/>
      <c r="C11" s="10"/>
      <c r="D11" s="23" t="s">
        <v>34</v>
      </c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28"/>
      <c r="V11" s="53"/>
      <c r="W11" s="58"/>
      <c r="X11" s="58"/>
      <c r="Y11" s="58"/>
      <c r="Z11" s="58"/>
      <c r="AA11" s="58"/>
      <c r="AB11" s="58"/>
      <c r="AC11" s="58"/>
    </row>
    <row r="12" spans="1:29" ht="13.5" customHeight="1">
      <c r="A12" s="36"/>
      <c r="B12" s="42"/>
      <c r="C12" s="10"/>
      <c r="D12" s="23"/>
      <c r="E12" s="6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8"/>
      <c r="W12" s="58"/>
      <c r="X12" s="58"/>
      <c r="Y12" s="58"/>
      <c r="Z12" s="58"/>
      <c r="AA12" s="58"/>
      <c r="AB12" s="58"/>
      <c r="AC12" s="58"/>
    </row>
    <row r="13" spans="1:29" ht="13.5" customHeight="1">
      <c r="A13" s="36"/>
      <c r="B13" s="42" t="s">
        <v>23</v>
      </c>
      <c r="C13" s="10"/>
      <c r="D13" s="23"/>
      <c r="E13" s="6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28"/>
      <c r="W13" s="58"/>
      <c r="X13" s="58"/>
      <c r="Y13" s="58"/>
      <c r="Z13" s="58"/>
      <c r="AA13" s="58"/>
      <c r="AB13" s="58"/>
      <c r="AC13" s="58"/>
    </row>
    <row r="14" spans="1:29" ht="15.6" customHeight="1">
      <c r="A14" s="36"/>
      <c r="B14" s="63" t="s">
        <v>190</v>
      </c>
      <c r="C14" s="10"/>
      <c r="D14" s="23"/>
      <c r="E14" s="64"/>
      <c r="F14" s="11" t="s">
        <v>36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8"/>
      <c r="W14" s="58"/>
      <c r="X14" s="58"/>
      <c r="Y14" s="58"/>
      <c r="Z14" s="58"/>
      <c r="AA14" s="58"/>
      <c r="AB14" s="58"/>
      <c r="AC14" s="58"/>
    </row>
    <row r="15" spans="1:29" ht="13.5" customHeight="1">
      <c r="A15" s="36"/>
      <c r="B15" s="42" t="s">
        <v>191</v>
      </c>
      <c r="C15" s="10"/>
      <c r="D15" s="23"/>
      <c r="E15" s="64"/>
      <c r="F15" s="11"/>
      <c r="G15" s="11" t="s">
        <v>36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8"/>
      <c r="W15" s="58"/>
      <c r="X15" s="58"/>
      <c r="Y15" s="58"/>
      <c r="Z15" s="58"/>
      <c r="AA15" s="58"/>
      <c r="AB15" s="58"/>
      <c r="AC15" s="58"/>
    </row>
    <row r="16" spans="1:29" ht="13.5" customHeight="1">
      <c r="A16" s="36"/>
      <c r="B16" s="42" t="s">
        <v>192</v>
      </c>
      <c r="C16" s="10"/>
      <c r="D16" s="23"/>
      <c r="E16" s="64"/>
      <c r="F16" s="11"/>
      <c r="G16" s="11"/>
      <c r="H16" s="11" t="s">
        <v>36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8"/>
    </row>
    <row r="17" spans="1:21" ht="13.5" customHeight="1">
      <c r="A17" s="36"/>
      <c r="B17" s="42"/>
      <c r="C17" s="10"/>
      <c r="D17" s="23"/>
      <c r="E17" s="64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8"/>
      <c r="U17" s="12"/>
    </row>
    <row r="18" spans="1:21" ht="13.5" customHeight="1">
      <c r="A18" s="36"/>
      <c r="B18" s="42"/>
      <c r="C18" s="10"/>
      <c r="D18" s="23"/>
      <c r="E18" s="64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8"/>
      <c r="U18" s="12"/>
    </row>
    <row r="19" spans="1:21" ht="13.5" customHeight="1">
      <c r="A19" s="36"/>
      <c r="B19" s="42"/>
      <c r="C19" s="10"/>
      <c r="D19" s="85"/>
      <c r="E19" s="6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8"/>
    </row>
    <row r="20" spans="1:21" ht="13.5" customHeight="1">
      <c r="A20" s="36"/>
      <c r="B20" s="63"/>
      <c r="C20" s="10"/>
      <c r="D20" s="23"/>
      <c r="E20" s="6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8"/>
    </row>
    <row r="21" spans="1:21" ht="13.5" customHeight="1">
      <c r="A21" s="36"/>
      <c r="B21" s="42"/>
      <c r="C21" s="10"/>
      <c r="D21" s="129"/>
      <c r="E21" s="13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8"/>
    </row>
    <row r="22" spans="1:21" ht="13.5" customHeight="1">
      <c r="A22" s="36"/>
      <c r="B22" s="42"/>
      <c r="C22" s="10"/>
      <c r="D22" s="129"/>
      <c r="E22" s="13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28"/>
    </row>
    <row r="23" spans="1:21" ht="13.5" customHeight="1">
      <c r="A23" s="36"/>
      <c r="B23" s="42"/>
      <c r="C23" s="10"/>
      <c r="D23" s="55"/>
      <c r="E23" s="5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8"/>
    </row>
    <row r="24" spans="1:21" ht="13.5" customHeight="1">
      <c r="A24" s="36"/>
      <c r="B24" s="42"/>
      <c r="C24" s="10"/>
      <c r="D24" s="55"/>
      <c r="E24" s="5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8"/>
    </row>
    <row r="25" spans="1:21" ht="13.5" customHeight="1">
      <c r="A25" s="36"/>
      <c r="B25" s="42"/>
      <c r="C25" s="10"/>
      <c r="D25" s="129"/>
      <c r="E25" s="13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8"/>
    </row>
    <row r="26" spans="1:21" ht="13.5" customHeight="1">
      <c r="A26" s="36"/>
      <c r="B26" s="63"/>
      <c r="C26" s="10"/>
      <c r="D26" s="23"/>
      <c r="E26" s="6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8"/>
    </row>
    <row r="27" spans="1:21" ht="13.5" customHeight="1">
      <c r="A27" s="36"/>
      <c r="B27" s="42"/>
      <c r="C27" s="10"/>
      <c r="D27" s="129"/>
      <c r="E27" s="13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8"/>
    </row>
    <row r="28" spans="1:21" ht="13.5" customHeight="1">
      <c r="A28" s="36"/>
      <c r="B28" s="42"/>
      <c r="C28" s="10"/>
      <c r="D28" s="129"/>
      <c r="E28" s="13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8"/>
    </row>
    <row r="29" spans="1:21" ht="13.5" customHeight="1">
      <c r="A29" s="36"/>
      <c r="B29" s="42"/>
      <c r="C29" s="10"/>
      <c r="D29" s="23"/>
      <c r="E29" s="6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8"/>
    </row>
    <row r="30" spans="1:21" ht="13.5" customHeight="1">
      <c r="A30" s="36"/>
      <c r="B30" s="42"/>
      <c r="C30" s="10"/>
      <c r="D30" s="23"/>
      <c r="E30" s="6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8"/>
    </row>
    <row r="31" spans="1:21" ht="13.5" customHeight="1">
      <c r="A31" s="36"/>
      <c r="B31" s="42"/>
      <c r="C31" s="10"/>
      <c r="D31" s="23"/>
      <c r="E31" s="6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8"/>
    </row>
    <row r="32" spans="1:21" ht="13.5" customHeight="1">
      <c r="A32" s="36"/>
      <c r="B32" s="63"/>
      <c r="C32" s="10"/>
      <c r="D32" s="65"/>
      <c r="E32" s="6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28"/>
    </row>
    <row r="33" spans="1:20" ht="13.5" customHeight="1">
      <c r="A33" s="36"/>
      <c r="B33" s="42"/>
      <c r="C33" s="10"/>
      <c r="D33" s="23"/>
      <c r="E33" s="6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8"/>
    </row>
    <row r="34" spans="1:20" ht="13.5" customHeight="1">
      <c r="A34" s="36"/>
      <c r="B34" s="42"/>
      <c r="C34" s="10"/>
      <c r="D34" s="23"/>
      <c r="E34" s="6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8"/>
    </row>
    <row r="35" spans="1:20" ht="13.5" customHeight="1">
      <c r="A35" s="36"/>
      <c r="B35" s="42"/>
      <c r="C35" s="10"/>
      <c r="D35" s="23"/>
      <c r="E35" s="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8"/>
    </row>
    <row r="36" spans="1:20" ht="13.5" customHeight="1">
      <c r="A36" s="36"/>
      <c r="B36" s="42"/>
      <c r="C36" s="10"/>
      <c r="D36" s="23"/>
      <c r="E36" s="6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8"/>
    </row>
    <row r="37" spans="1:20" ht="13.5" customHeight="1" thickBot="1">
      <c r="A37" s="36"/>
      <c r="B37" s="67"/>
      <c r="C37" s="68"/>
      <c r="D37" s="69"/>
      <c r="E37" s="7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</row>
    <row r="38" spans="1:20" ht="13.5" customHeight="1">
      <c r="A38" s="71" t="s">
        <v>14</v>
      </c>
      <c r="B38" s="43" t="s">
        <v>15</v>
      </c>
      <c r="C38" s="44" t="s">
        <v>40</v>
      </c>
      <c r="D38" s="74" t="s">
        <v>158</v>
      </c>
      <c r="E38" s="45"/>
      <c r="F38" s="46" t="s">
        <v>36</v>
      </c>
      <c r="G38" s="46" t="s">
        <v>36</v>
      </c>
      <c r="H38" s="46" t="s">
        <v>36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3.5" customHeight="1">
      <c r="A39" s="72"/>
      <c r="B39" s="48"/>
      <c r="C39" s="75"/>
      <c r="D39" s="76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28"/>
    </row>
    <row r="40" spans="1:20" ht="13.5" customHeight="1">
      <c r="A40" s="72"/>
      <c r="B40" s="48"/>
      <c r="C40" s="75" t="s">
        <v>41</v>
      </c>
      <c r="D40" s="76"/>
      <c r="E40" s="15"/>
      <c r="F40" s="11" t="s">
        <v>42</v>
      </c>
      <c r="G40" s="11" t="s">
        <v>42</v>
      </c>
      <c r="H40" s="11" t="s">
        <v>42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28"/>
    </row>
    <row r="41" spans="1:20" ht="13.5" customHeight="1">
      <c r="A41" s="72"/>
      <c r="B41" s="48"/>
      <c r="C41" s="13"/>
      <c r="D41" s="76"/>
      <c r="E41" s="15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28"/>
    </row>
    <row r="42" spans="1:20" ht="15">
      <c r="A42" s="72"/>
      <c r="B42" s="48"/>
      <c r="C42" s="16"/>
      <c r="D42" s="76"/>
      <c r="E42" s="1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8"/>
    </row>
    <row r="43" spans="1:20" ht="15">
      <c r="A43" s="72"/>
      <c r="B43" s="48" t="s">
        <v>16</v>
      </c>
      <c r="C43" s="16" t="s">
        <v>43</v>
      </c>
      <c r="D43" s="14"/>
      <c r="E43" s="1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29"/>
    </row>
    <row r="44" spans="1:20" ht="15">
      <c r="A44" s="72"/>
      <c r="B44" s="48"/>
      <c r="C44" s="16" t="s">
        <v>44</v>
      </c>
      <c r="D44" s="14"/>
      <c r="E44" s="1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29"/>
    </row>
    <row r="45" spans="1:20" ht="15">
      <c r="A45" s="72"/>
      <c r="B45" s="48" t="s">
        <v>17</v>
      </c>
      <c r="C45" s="16" t="s">
        <v>45</v>
      </c>
      <c r="D45" s="14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</row>
    <row r="46" spans="1:20" ht="15.6" thickBot="1">
      <c r="A46" s="73"/>
      <c r="B46" s="49"/>
      <c r="C46" s="78"/>
      <c r="D46" s="79"/>
      <c r="E46" s="8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3"/>
    </row>
    <row r="47" spans="1:20">
      <c r="A47" s="71" t="s">
        <v>18</v>
      </c>
      <c r="B47" s="133" t="s">
        <v>19</v>
      </c>
      <c r="C47" s="134"/>
      <c r="D47" s="134"/>
      <c r="E47" s="81"/>
      <c r="F47" s="82" t="s">
        <v>48</v>
      </c>
      <c r="G47" s="82" t="s">
        <v>48</v>
      </c>
      <c r="H47" s="82" t="s">
        <v>48</v>
      </c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3"/>
    </row>
    <row r="48" spans="1:20">
      <c r="A48" s="72"/>
      <c r="B48" s="135" t="s">
        <v>20</v>
      </c>
      <c r="C48" s="136"/>
      <c r="D48" s="136"/>
      <c r="E48" s="18"/>
      <c r="F48" s="19" t="s">
        <v>42</v>
      </c>
      <c r="G48" s="19" t="s">
        <v>42</v>
      </c>
      <c r="H48" s="19" t="s">
        <v>42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84"/>
    </row>
    <row r="49" spans="1:20" ht="42">
      <c r="A49" s="72"/>
      <c r="B49" s="137" t="s">
        <v>21</v>
      </c>
      <c r="C49" s="138"/>
      <c r="D49" s="138"/>
      <c r="E49" s="20"/>
      <c r="F49" s="21" t="s">
        <v>49</v>
      </c>
      <c r="G49" s="21" t="s">
        <v>49</v>
      </c>
      <c r="H49" s="21" t="s">
        <v>49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84"/>
    </row>
    <row r="50" spans="1:20" ht="10.8" thickBot="1">
      <c r="A50" s="73"/>
      <c r="B50" s="127" t="s">
        <v>22</v>
      </c>
      <c r="C50" s="128"/>
      <c r="D50" s="128"/>
      <c r="E50" s="31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77"/>
    </row>
    <row r="51" spans="1:20">
      <c r="A51" s="22"/>
    </row>
    <row r="54" spans="1:20">
      <c r="A54" s="27" t="s">
        <v>25</v>
      </c>
      <c r="B54" s="54" t="s">
        <v>51</v>
      </c>
    </row>
    <row r="55" spans="1:20">
      <c r="B55" s="25" t="s">
        <v>24</v>
      </c>
      <c r="C55" s="26"/>
    </row>
  </sheetData>
  <mergeCells count="33">
    <mergeCell ref="B50:D50"/>
    <mergeCell ref="D25:E25"/>
    <mergeCell ref="D27:E27"/>
    <mergeCell ref="D28:E28"/>
    <mergeCell ref="A9:D9"/>
    <mergeCell ref="D21:E21"/>
    <mergeCell ref="B47:D47"/>
    <mergeCell ref="B48:D48"/>
    <mergeCell ref="B49:D49"/>
    <mergeCell ref="D22:E22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honeticPr fontId="20" type="noConversion"/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983058:S983086 T983053:T983081 F917522:S917550 T917517:T917545 F851986:S852014 T851981:T852009 F786450:S786478 T786445:T786473 F720914:S720942 T720909:T720937 F655378:S655406 T655373:T655401 F589842:S589870 T589837:T589865 F524306:S524334 T524301:T524329 F458770:S458798 T458765:T458793 F393234:S393262 T393229:T393257 F327698:S327726 T327693:T327721 F262162:S262190 T262157:T262185 F196626:S196654 T196621:T196649 F131090:S131118 T131085:T131113 F65554:S65582 T65549:T65577" xr:uid="{31A0521F-9DA4-4728-BFCC-F5F5589FE604}">
      <formula1>"O, "</formula1>
    </dataValidation>
    <dataValidation type="list" allowBlank="1" showInputMessage="1" showErrorMessage="1" sqref="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 F983088:S983088 T983083 F917552:S917552 T917547 F852016:S852016 T852011 F786480:S786480 T786475 F720944:S720944 T720939 F655408:S655408 T655403 F589872:S589872 T589867 F524336:S524336 T524331 F458800:S458800 T458795 F393264:S393264 T393259 F327728:S327728 T327723 F262192:S262192 T262187 F196656:S196656 T196651 F131120:S131120 T131115 F65584:S65584 T65579 F48:S48" xr:uid="{EEC729EE-B923-4699-8755-392492C7FE70}">
      <formula1>"P,F, "</formula1>
    </dataValidation>
    <dataValidation type="list" allowBlank="1" showInputMessage="1" showErrorMessage="1" sqref="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 F983087:S983087 T983082 F917551:S917551 T917546 F852015:S852015 T852010 F786479:S786479 T786474 F720943:S720943 T720938 F655407:S655407 T655402 F589871:S589871 T589866 F524335:S524335 T524330 F458799:S458799 T458794 F393263:S393263 T393258 F327727:S327727 T327722 F262191:S262191 T262186 F196655:S196655 T196650 F131119:S131119 T131114 F65583:S65583 T65578 F47:S47" xr:uid="{8A206487-372A-40D3-B899-C8BDD766BFDA}">
      <formula1>"N,A,B, 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Subtotal</vt:lpstr>
      <vt:lpstr>Discount 1</vt:lpstr>
      <vt:lpstr>Discount 2</vt:lpstr>
      <vt:lpstr>Shipping</vt:lpstr>
      <vt:lpstr>Total 1</vt:lpstr>
      <vt:lpstr>Total 2</vt:lpstr>
      <vt:lpstr>Customer</vt:lpstr>
      <vt:lpstr>Product</vt:lpstr>
      <vt:lpstr>Register</vt:lpstr>
      <vt:lpstr>Email 1</vt:lpstr>
      <vt:lpstr>Email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My Tam</cp:lastModifiedBy>
  <dcterms:created xsi:type="dcterms:W3CDTF">2023-02-26T13:32:36Z</dcterms:created>
  <dcterms:modified xsi:type="dcterms:W3CDTF">2026-10-06T19:38:35Z</dcterms:modified>
</cp:coreProperties>
</file>